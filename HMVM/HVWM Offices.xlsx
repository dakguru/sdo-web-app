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ARUR SUB DN\"/>
    </mc:Choice>
  </mc:AlternateContent>
  <bookViews>
    <workbookView xWindow="0" yWindow="0" windowWidth="28800" windowHeight="12180"/>
  </bookViews>
  <sheets>
    <sheet name="Karur Sub Division" sheetId="1" r:id="rId1"/>
    <sheet name="Sheet1" sheetId="2" r:id="rId2"/>
  </sheets>
  <definedNames>
    <definedName name="_xlnm._FilterDatabase" localSheetId="0" hidden="1">'Karur Sub Division'!$A$1:$E$18</definedName>
    <definedName name="_xlnm._FilterDatabase" localSheetId="1" hidden="1">Sheet1!$A$1:$M$38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2" i="2"/>
</calcChain>
</file>

<file path=xl/sharedStrings.xml><?xml version="1.0" encoding="utf-8"?>
<sst xmlns="http://schemas.openxmlformats.org/spreadsheetml/2006/main" count="291" uniqueCount="76">
  <si>
    <t>S.No</t>
  </si>
  <si>
    <t>Type</t>
  </si>
  <si>
    <t>Office Name</t>
  </si>
  <si>
    <t>Office ID</t>
  </si>
  <si>
    <t>Division</t>
  </si>
  <si>
    <t>Region</t>
  </si>
  <si>
    <t>HO</t>
  </si>
  <si>
    <t>Karur H.O</t>
  </si>
  <si>
    <t>Karur Sub Division</t>
  </si>
  <si>
    <t>Karur Division</t>
  </si>
  <si>
    <t>SO</t>
  </si>
  <si>
    <t>Andankoil S.O</t>
  </si>
  <si>
    <t>Gandhigramam S.O</t>
  </si>
  <si>
    <t>Kagtithapuram S.O</t>
  </si>
  <si>
    <t>Karur Collectorate S.O</t>
  </si>
  <si>
    <t>Karur West S.O</t>
  </si>
  <si>
    <t>Mayanur S.O</t>
  </si>
  <si>
    <t>Pasupathipalayam S.O</t>
  </si>
  <si>
    <t>Pugalur Sugar Factory S.O</t>
  </si>
  <si>
    <t>Puliyur Cement Factory S.O</t>
  </si>
  <si>
    <t>Sengunthapuram S.O</t>
  </si>
  <si>
    <t>Thanthonimalai S.O</t>
  </si>
  <si>
    <t>Tirumanilaiyur S.O</t>
  </si>
  <si>
    <t>Vangal S.O</t>
  </si>
  <si>
    <t>Velayuthampalayam S.O</t>
  </si>
  <si>
    <t>Vengamedu S.O</t>
  </si>
  <si>
    <t>Palaiyur B.O</t>
  </si>
  <si>
    <t>Pallapalayam B.O</t>
  </si>
  <si>
    <t>Minnampalli B.O</t>
  </si>
  <si>
    <t>Circle</t>
  </si>
  <si>
    <t>Pincode</t>
  </si>
  <si>
    <t>Latitude</t>
  </si>
  <si>
    <t>Longitude</t>
  </si>
  <si>
    <t>Geo Validation Status</t>
  </si>
  <si>
    <t>Tamilnadu Circle</t>
  </si>
  <si>
    <t>Central Region Trichirapalli</t>
  </si>
  <si>
    <t>SPO</t>
  </si>
  <si>
    <t>OUTSIDE_PINCODE_BOUNDARY</t>
  </si>
  <si>
    <t>Avarampatti B.O</t>
  </si>
  <si>
    <t>BPO</t>
  </si>
  <si>
    <t>Ganesapuram B.O</t>
  </si>
  <si>
    <t>Kalingapatti B.O</t>
  </si>
  <si>
    <t>Kalladai B.O</t>
  </si>
  <si>
    <t>Kanjanaickenpatti B.O</t>
  </si>
  <si>
    <t>Kannivadugapatti B.O</t>
  </si>
  <si>
    <t>Kannuthu B.O</t>
  </si>
  <si>
    <t>Karumalai B.O</t>
  </si>
  <si>
    <t>Karuppur MNR B.O</t>
  </si>
  <si>
    <t>Kodumbapatti B.O</t>
  </si>
  <si>
    <t>Kulathupatti B.O</t>
  </si>
  <si>
    <t>Kurikkaranvalasu B.O</t>
  </si>
  <si>
    <t>Manaparai</t>
  </si>
  <si>
    <t>SDO</t>
  </si>
  <si>
    <t>Minaveli B.O</t>
  </si>
  <si>
    <t>Nallampillai B.O</t>
  </si>
  <si>
    <t>Palayakottai B.O</t>
  </si>
  <si>
    <t>Pallapatti Bazaar S.O</t>
  </si>
  <si>
    <t>Pannipatti B.O</t>
  </si>
  <si>
    <t>Pillupatti B.O</t>
  </si>
  <si>
    <t>Ponnaiar Dam B.O</t>
  </si>
  <si>
    <t>Rakkampatti B.O</t>
  </si>
  <si>
    <t>Samudram B.O</t>
  </si>
  <si>
    <t>Servaikaranpatti B.O</t>
  </si>
  <si>
    <t>Sevapur B.O</t>
  </si>
  <si>
    <t>Soolapuram B.O</t>
  </si>
  <si>
    <t>Thethur B.O</t>
  </si>
  <si>
    <t>Thondamanginam B.O</t>
  </si>
  <si>
    <t>Thoppanaickenpatti B.O</t>
  </si>
  <si>
    <t>Thottiapatti B.O</t>
  </si>
  <si>
    <t>Tirunellipatti B.O</t>
  </si>
  <si>
    <t>V.Periyapatti B.O</t>
  </si>
  <si>
    <t>Vellalapatti B.O</t>
  </si>
  <si>
    <t>Vellapatti Zamin B.O</t>
  </si>
  <si>
    <t>Addressed to</t>
  </si>
  <si>
    <t>The Postmaster</t>
  </si>
  <si>
    <t>The Sub Postmaster,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</si>
</sst>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ED7D31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BDD7EE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DCE1"/>
        <bgColor indexed="64"/>
      </patternFill>
    </fill>
  </fills>
  <borders count="7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0" borderId="0" xfId="0"/>
    <xf numFmtId="0" fontId="5" fillId="7" borderId="4" xfId="0" applyFont="1" applyFill="1" applyBorder="1" applyAlignment="1">
      <alignment wrapText="1"/>
    </xf>
    <xf numFmtId="0" fontId="5" fillId="7" borderId="5" xfId="0" applyFont="1" applyFill="1" applyBorder="1" applyAlignment="1">
      <alignment wrapText="1"/>
    </xf>
    <xf numFmtId="0" fontId="5" fillId="7" borderId="5" xfId="0" applyFont="1" applyFill="1" applyBorder="1" applyAlignment="1">
      <alignment horizontal="center" wrapText="1"/>
    </xf>
    <xf numFmtId="0" fontId="6" fillId="6" borderId="5" xfId="0" applyFont="1" applyFill="1" applyBorder="1" applyAlignment="1">
      <alignment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vertical="center" wrapText="1"/>
    </xf>
    <xf numFmtId="0" fontId="5" fillId="7" borderId="5" xfId="0" applyFont="1" applyFill="1" applyBorder="1" applyAlignment="1">
      <alignment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zoomScale="130" zoomScaleNormal="130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6" customWidth="1"/>
    <col min="2" max="2" width="7" customWidth="1"/>
    <col min="3" max="3" width="19.28515625" style="7" bestFit="1" customWidth="1"/>
    <col min="4" max="4" width="28" customWidth="1"/>
    <col min="5" max="5" width="11" customWidth="1"/>
  </cols>
  <sheetData>
    <row r="1" spans="1:5" x14ac:dyDescent="0.25">
      <c r="A1" s="1" t="s">
        <v>0</v>
      </c>
      <c r="B1" s="1" t="s">
        <v>1</v>
      </c>
      <c r="C1" s="1" t="s">
        <v>73</v>
      </c>
      <c r="D1" s="1" t="s">
        <v>2</v>
      </c>
      <c r="E1" s="1" t="s">
        <v>3</v>
      </c>
    </row>
    <row r="2" spans="1:5" x14ac:dyDescent="0.25">
      <c r="A2" s="2">
        <v>1</v>
      </c>
      <c r="B2" s="2" t="s">
        <v>6</v>
      </c>
      <c r="C2" s="21" t="s">
        <v>74</v>
      </c>
      <c r="D2" s="3" t="s">
        <v>7</v>
      </c>
      <c r="E2" s="2">
        <v>639001</v>
      </c>
    </row>
    <row r="3" spans="1:5" s="7" customFormat="1" x14ac:dyDescent="0.25">
      <c r="A3" s="2">
        <v>1</v>
      </c>
      <c r="B3" s="2" t="s">
        <v>6</v>
      </c>
      <c r="C3" s="21" t="s">
        <v>74</v>
      </c>
      <c r="D3" s="3" t="s">
        <v>7</v>
      </c>
      <c r="E3" s="2">
        <v>639104</v>
      </c>
    </row>
    <row r="4" spans="1:5" x14ac:dyDescent="0.25">
      <c r="A4" s="4">
        <v>2</v>
      </c>
      <c r="B4" s="5" t="s">
        <v>10</v>
      </c>
      <c r="C4" s="5" t="s">
        <v>75</v>
      </c>
      <c r="D4" s="6" t="s">
        <v>11</v>
      </c>
      <c r="E4" s="4">
        <v>639008</v>
      </c>
    </row>
    <row r="5" spans="1:5" x14ac:dyDescent="0.25">
      <c r="A5" s="4">
        <v>3</v>
      </c>
      <c r="B5" s="5" t="s">
        <v>10</v>
      </c>
      <c r="C5" s="5" t="s">
        <v>75</v>
      </c>
      <c r="D5" s="6" t="s">
        <v>12</v>
      </c>
      <c r="E5" s="4">
        <v>639004</v>
      </c>
    </row>
    <row r="6" spans="1:5" x14ac:dyDescent="0.25">
      <c r="A6" s="4">
        <v>4</v>
      </c>
      <c r="B6" s="5" t="s">
        <v>10</v>
      </c>
      <c r="C6" s="5" t="s">
        <v>75</v>
      </c>
      <c r="D6" s="6" t="s">
        <v>13</v>
      </c>
      <c r="E6" s="4">
        <v>639136</v>
      </c>
    </row>
    <row r="7" spans="1:5" x14ac:dyDescent="0.25">
      <c r="A7" s="4">
        <v>5</v>
      </c>
      <c r="B7" s="5" t="s">
        <v>10</v>
      </c>
      <c r="C7" s="5" t="s">
        <v>75</v>
      </c>
      <c r="D7" s="6" t="s">
        <v>14</v>
      </c>
      <c r="E7" s="4">
        <v>639007</v>
      </c>
    </row>
    <row r="8" spans="1:5" x14ac:dyDescent="0.25">
      <c r="A8" s="4">
        <v>6</v>
      </c>
      <c r="B8" s="5" t="s">
        <v>10</v>
      </c>
      <c r="C8" s="5" t="s">
        <v>75</v>
      </c>
      <c r="D8" s="6" t="s">
        <v>15</v>
      </c>
      <c r="E8" s="4">
        <v>639001</v>
      </c>
    </row>
    <row r="9" spans="1:5" x14ac:dyDescent="0.25">
      <c r="A9" s="4">
        <v>7</v>
      </c>
      <c r="B9" s="5" t="s">
        <v>10</v>
      </c>
      <c r="C9" s="5" t="s">
        <v>75</v>
      </c>
      <c r="D9" s="6" t="s">
        <v>16</v>
      </c>
      <c r="E9" s="4">
        <v>639108</v>
      </c>
    </row>
    <row r="10" spans="1:5" x14ac:dyDescent="0.25">
      <c r="A10" s="4">
        <v>8</v>
      </c>
      <c r="B10" s="5" t="s">
        <v>10</v>
      </c>
      <c r="C10" s="5" t="s">
        <v>75</v>
      </c>
      <c r="D10" s="6" t="s">
        <v>17</v>
      </c>
      <c r="E10" s="4">
        <v>639004</v>
      </c>
    </row>
    <row r="11" spans="1:5" x14ac:dyDescent="0.25">
      <c r="A11" s="4">
        <v>9</v>
      </c>
      <c r="B11" s="5" t="s">
        <v>10</v>
      </c>
      <c r="C11" s="5" t="s">
        <v>75</v>
      </c>
      <c r="D11" s="6" t="s">
        <v>18</v>
      </c>
      <c r="E11" s="4">
        <v>639113</v>
      </c>
    </row>
    <row r="12" spans="1:5" x14ac:dyDescent="0.25">
      <c r="A12" s="4">
        <v>10</v>
      </c>
      <c r="B12" s="5" t="s">
        <v>10</v>
      </c>
      <c r="C12" s="5" t="s">
        <v>75</v>
      </c>
      <c r="D12" s="6" t="s">
        <v>19</v>
      </c>
      <c r="E12" s="4">
        <v>639114</v>
      </c>
    </row>
    <row r="13" spans="1:5" x14ac:dyDescent="0.25">
      <c r="A13" s="4">
        <v>11</v>
      </c>
      <c r="B13" s="5" t="s">
        <v>10</v>
      </c>
      <c r="C13" s="5" t="s">
        <v>75</v>
      </c>
      <c r="D13" s="6" t="s">
        <v>20</v>
      </c>
      <c r="E13" s="4">
        <v>639002</v>
      </c>
    </row>
    <row r="14" spans="1:5" x14ac:dyDescent="0.25">
      <c r="A14" s="4">
        <v>12</v>
      </c>
      <c r="B14" s="5" t="s">
        <v>10</v>
      </c>
      <c r="C14" s="5" t="s">
        <v>75</v>
      </c>
      <c r="D14" s="6" t="s">
        <v>21</v>
      </c>
      <c r="E14" s="4">
        <v>639005</v>
      </c>
    </row>
    <row r="15" spans="1:5" x14ac:dyDescent="0.25">
      <c r="A15" s="4">
        <v>13</v>
      </c>
      <c r="B15" s="5" t="s">
        <v>10</v>
      </c>
      <c r="C15" s="5" t="s">
        <v>75</v>
      </c>
      <c r="D15" s="6" t="s">
        <v>22</v>
      </c>
      <c r="E15" s="4">
        <v>639003</v>
      </c>
    </row>
    <row r="16" spans="1:5" x14ac:dyDescent="0.25">
      <c r="A16" s="4">
        <v>14</v>
      </c>
      <c r="B16" s="5" t="s">
        <v>10</v>
      </c>
      <c r="C16" s="5" t="s">
        <v>75</v>
      </c>
      <c r="D16" s="6" t="s">
        <v>23</v>
      </c>
      <c r="E16" s="4">
        <v>639116</v>
      </c>
    </row>
    <row r="17" spans="1:5" x14ac:dyDescent="0.25">
      <c r="A17" s="4">
        <v>15</v>
      </c>
      <c r="B17" s="5" t="s">
        <v>10</v>
      </c>
      <c r="C17" s="5" t="s">
        <v>75</v>
      </c>
      <c r="D17" s="6" t="s">
        <v>24</v>
      </c>
      <c r="E17" s="4">
        <v>639117</v>
      </c>
    </row>
    <row r="18" spans="1:5" x14ac:dyDescent="0.25">
      <c r="A18" s="4">
        <v>16</v>
      </c>
      <c r="B18" s="5" t="s">
        <v>10</v>
      </c>
      <c r="C18" s="5" t="s">
        <v>75</v>
      </c>
      <c r="D18" s="6" t="s">
        <v>25</v>
      </c>
      <c r="E18" s="4">
        <v>639007</v>
      </c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workbookViewId="0">
      <selection activeCell="F6" sqref="F6"/>
    </sheetView>
  </sheetViews>
  <sheetFormatPr defaultRowHeight="15" x14ac:dyDescent="0.25"/>
  <cols>
    <col min="5" max="5" width="15.5703125" customWidth="1"/>
    <col min="10" max="10" width="17.28515625" customWidth="1"/>
    <col min="11" max="11" width="13.42578125" customWidth="1"/>
    <col min="12" max="12" width="15.7109375" customWidth="1"/>
    <col min="13" max="13" width="17.28515625" bestFit="1" customWidth="1"/>
  </cols>
  <sheetData>
    <row r="1" spans="1:13" ht="24.75" thickBot="1" x14ac:dyDescent="0.3">
      <c r="A1" s="12" t="s">
        <v>29</v>
      </c>
      <c r="B1" s="13" t="s">
        <v>5</v>
      </c>
      <c r="C1" s="13" t="s">
        <v>4</v>
      </c>
      <c r="D1" s="13" t="s">
        <v>3</v>
      </c>
      <c r="E1" s="13" t="s">
        <v>2</v>
      </c>
      <c r="F1" s="13" t="s">
        <v>1</v>
      </c>
      <c r="G1" s="13" t="s">
        <v>30</v>
      </c>
      <c r="H1" s="13" t="s">
        <v>31</v>
      </c>
      <c r="I1" s="13" t="s">
        <v>32</v>
      </c>
      <c r="J1" s="13" t="s">
        <v>33</v>
      </c>
      <c r="K1" s="14" t="s">
        <v>31</v>
      </c>
      <c r="L1" s="14" t="s">
        <v>32</v>
      </c>
      <c r="M1" s="15" t="s">
        <v>8</v>
      </c>
    </row>
    <row r="2" spans="1:13" ht="48.75" thickBot="1" x14ac:dyDescent="0.3">
      <c r="A2" s="16" t="s">
        <v>34</v>
      </c>
      <c r="B2" s="17" t="s">
        <v>35</v>
      </c>
      <c r="C2" s="17" t="s">
        <v>9</v>
      </c>
      <c r="D2" s="18">
        <v>29661915</v>
      </c>
      <c r="E2" s="17" t="s">
        <v>11</v>
      </c>
      <c r="F2" s="18" t="s">
        <v>36</v>
      </c>
      <c r="G2" s="18">
        <v>639008</v>
      </c>
      <c r="H2" s="18">
        <v>10.945039</v>
      </c>
      <c r="I2" s="18">
        <v>78.016319999999993</v>
      </c>
      <c r="J2" s="17" t="s">
        <v>37</v>
      </c>
      <c r="K2" s="19">
        <v>10.9642260455872</v>
      </c>
      <c r="L2" s="19">
        <v>78.048607177808606</v>
      </c>
      <c r="M2" s="20" t="e">
        <f>VLOOKUP(D2,'Karur Sub Division'!$E$2:$E$18,5,FALSE)</f>
        <v>#N/A</v>
      </c>
    </row>
    <row r="3" spans="1:13" ht="49.5" thickBot="1" x14ac:dyDescent="0.3">
      <c r="A3" s="8" t="s">
        <v>34</v>
      </c>
      <c r="B3" s="9" t="s">
        <v>35</v>
      </c>
      <c r="C3" s="9" t="s">
        <v>9</v>
      </c>
      <c r="D3" s="10">
        <v>29106753</v>
      </c>
      <c r="E3" s="9" t="s">
        <v>38</v>
      </c>
      <c r="F3" s="10" t="s">
        <v>39</v>
      </c>
      <c r="G3" s="10">
        <v>621307</v>
      </c>
      <c r="H3" s="10">
        <v>10.512567000000001</v>
      </c>
      <c r="I3" s="10">
        <v>78.443969999999993</v>
      </c>
      <c r="J3" s="9" t="s">
        <v>37</v>
      </c>
      <c r="K3" s="11"/>
      <c r="L3" s="11"/>
      <c r="M3" s="7" t="e">
        <f>VLOOKUP(D3,'Karur Sub Division'!$E$2:$E$18,5,FALSE)</f>
        <v>#N/A</v>
      </c>
    </row>
    <row r="4" spans="1:13" ht="49.5" thickBot="1" x14ac:dyDescent="0.3">
      <c r="A4" s="8" t="s">
        <v>34</v>
      </c>
      <c r="B4" s="9" t="s">
        <v>35</v>
      </c>
      <c r="C4" s="9" t="s">
        <v>9</v>
      </c>
      <c r="D4" s="10">
        <v>29106774</v>
      </c>
      <c r="E4" s="9" t="s">
        <v>40</v>
      </c>
      <c r="F4" s="10" t="s">
        <v>39</v>
      </c>
      <c r="G4" s="10">
        <v>639107</v>
      </c>
      <c r="H4" s="10">
        <v>10.953137</v>
      </c>
      <c r="I4" s="10">
        <v>78.384110000000007</v>
      </c>
      <c r="J4" s="9" t="s">
        <v>37</v>
      </c>
      <c r="K4" s="11"/>
      <c r="L4" s="11"/>
      <c r="M4" s="7" t="e">
        <f>VLOOKUP(D4,'Karur Sub Division'!$E$2:$E$18,5,FALSE)</f>
        <v>#N/A</v>
      </c>
    </row>
    <row r="5" spans="1:13" ht="49.5" thickBot="1" x14ac:dyDescent="0.3">
      <c r="A5" s="8" t="s">
        <v>34</v>
      </c>
      <c r="B5" s="9" t="s">
        <v>35</v>
      </c>
      <c r="C5" s="9" t="s">
        <v>9</v>
      </c>
      <c r="D5" s="10">
        <v>29106790</v>
      </c>
      <c r="E5" s="9" t="s">
        <v>41</v>
      </c>
      <c r="F5" s="10" t="s">
        <v>39</v>
      </c>
      <c r="G5" s="10">
        <v>621308</v>
      </c>
      <c r="H5" s="10">
        <v>10.651399</v>
      </c>
      <c r="I5" s="10">
        <v>78.451030000000003</v>
      </c>
      <c r="J5" s="9" t="s">
        <v>37</v>
      </c>
      <c r="K5" s="11"/>
      <c r="L5" s="11"/>
      <c r="M5" s="7" t="e">
        <f>VLOOKUP(D5,'Karur Sub Division'!$E$2:$E$18,5,FALSE)</f>
        <v>#N/A</v>
      </c>
    </row>
    <row r="6" spans="1:13" ht="49.5" thickBot="1" x14ac:dyDescent="0.3">
      <c r="A6" s="8" t="s">
        <v>34</v>
      </c>
      <c r="B6" s="9" t="s">
        <v>35</v>
      </c>
      <c r="C6" s="9" t="s">
        <v>9</v>
      </c>
      <c r="D6" s="10">
        <v>29106791</v>
      </c>
      <c r="E6" s="9" t="s">
        <v>42</v>
      </c>
      <c r="F6" s="10" t="s">
        <v>39</v>
      </c>
      <c r="G6" s="10">
        <v>621313</v>
      </c>
      <c r="H6" s="10">
        <v>10.726671</v>
      </c>
      <c r="I6" s="10">
        <v>78.464259999999996</v>
      </c>
      <c r="J6" s="9" t="s">
        <v>37</v>
      </c>
      <c r="K6" s="11"/>
      <c r="L6" s="11"/>
      <c r="M6" s="7" t="e">
        <f>VLOOKUP(D6,'Karur Sub Division'!$E$2:$E$18,5,FALSE)</f>
        <v>#N/A</v>
      </c>
    </row>
    <row r="7" spans="1:13" ht="49.5" thickBot="1" x14ac:dyDescent="0.3">
      <c r="A7" s="8" t="s">
        <v>34</v>
      </c>
      <c r="B7" s="9" t="s">
        <v>35</v>
      </c>
      <c r="C7" s="9" t="s">
        <v>9</v>
      </c>
      <c r="D7" s="10">
        <v>29106797</v>
      </c>
      <c r="E7" s="9" t="s">
        <v>43</v>
      </c>
      <c r="F7" s="10" t="s">
        <v>39</v>
      </c>
      <c r="G7" s="10">
        <v>621314</v>
      </c>
      <c r="H7" s="10">
        <v>10.421047</v>
      </c>
      <c r="I7" s="10">
        <v>78.333669999999998</v>
      </c>
      <c r="J7" s="9" t="s">
        <v>37</v>
      </c>
      <c r="K7" s="11"/>
      <c r="L7" s="11"/>
      <c r="M7" s="7" t="e">
        <f>VLOOKUP(D7,'Karur Sub Division'!$E$2:$E$18,5,FALSE)</f>
        <v>#N/A</v>
      </c>
    </row>
    <row r="8" spans="1:13" ht="49.5" thickBot="1" x14ac:dyDescent="0.3">
      <c r="A8" s="8" t="s">
        <v>34</v>
      </c>
      <c r="B8" s="9" t="s">
        <v>35</v>
      </c>
      <c r="C8" s="9" t="s">
        <v>9</v>
      </c>
      <c r="D8" s="10">
        <v>29106799</v>
      </c>
      <c r="E8" s="9" t="s">
        <v>44</v>
      </c>
      <c r="F8" s="10" t="s">
        <v>39</v>
      </c>
      <c r="G8" s="10">
        <v>621310</v>
      </c>
      <c r="H8" s="10">
        <v>10.51108</v>
      </c>
      <c r="I8" s="10">
        <v>78.423310000000001</v>
      </c>
      <c r="J8" s="9" t="s">
        <v>37</v>
      </c>
      <c r="K8" s="11"/>
      <c r="L8" s="11"/>
      <c r="M8" s="7" t="e">
        <f>VLOOKUP(D8,'Karur Sub Division'!$E$2:$E$18,5,FALSE)</f>
        <v>#N/A</v>
      </c>
    </row>
    <row r="9" spans="1:13" ht="49.5" thickBot="1" x14ac:dyDescent="0.3">
      <c r="A9" s="8" t="s">
        <v>34</v>
      </c>
      <c r="B9" s="9" t="s">
        <v>35</v>
      </c>
      <c r="C9" s="9" t="s">
        <v>9</v>
      </c>
      <c r="D9" s="10">
        <v>29106801</v>
      </c>
      <c r="E9" s="9" t="s">
        <v>45</v>
      </c>
      <c r="F9" s="10" t="s">
        <v>39</v>
      </c>
      <c r="G9" s="10">
        <v>621315</v>
      </c>
      <c r="H9" s="10">
        <v>10.473394000000001</v>
      </c>
      <c r="I9" s="10">
        <v>78.277990000000003</v>
      </c>
      <c r="J9" s="9" t="s">
        <v>37</v>
      </c>
      <c r="K9" s="11"/>
      <c r="L9" s="11"/>
      <c r="M9" s="7" t="e">
        <f>VLOOKUP(D9,'Karur Sub Division'!$E$2:$E$18,5,FALSE)</f>
        <v>#N/A</v>
      </c>
    </row>
    <row r="10" spans="1:13" ht="49.5" thickBot="1" x14ac:dyDescent="0.3">
      <c r="A10" s="8" t="s">
        <v>34</v>
      </c>
      <c r="B10" s="9" t="s">
        <v>35</v>
      </c>
      <c r="C10" s="9" t="s">
        <v>9</v>
      </c>
      <c r="D10" s="10">
        <v>29106805</v>
      </c>
      <c r="E10" s="9" t="s">
        <v>46</v>
      </c>
      <c r="F10" s="10" t="s">
        <v>39</v>
      </c>
      <c r="G10" s="10">
        <v>621310</v>
      </c>
      <c r="H10" s="10">
        <v>10.622320999999999</v>
      </c>
      <c r="I10" s="10">
        <v>78.252520000000004</v>
      </c>
      <c r="J10" s="9" t="s">
        <v>37</v>
      </c>
      <c r="K10" s="11"/>
      <c r="L10" s="11"/>
      <c r="M10" s="7" t="e">
        <f>VLOOKUP(D10,'Karur Sub Division'!$E$2:$E$18,5,FALSE)</f>
        <v>#N/A</v>
      </c>
    </row>
    <row r="11" spans="1:13" ht="49.5" thickBot="1" x14ac:dyDescent="0.3">
      <c r="A11" s="8" t="s">
        <v>34</v>
      </c>
      <c r="B11" s="9" t="s">
        <v>35</v>
      </c>
      <c r="C11" s="9" t="s">
        <v>9</v>
      </c>
      <c r="D11" s="10">
        <v>29106810</v>
      </c>
      <c r="E11" s="9" t="s">
        <v>47</v>
      </c>
      <c r="F11" s="10" t="s">
        <v>39</v>
      </c>
      <c r="G11" s="10">
        <v>621310</v>
      </c>
      <c r="H11" s="10">
        <v>10.622863000000001</v>
      </c>
      <c r="I11" s="10">
        <v>78.252549999999999</v>
      </c>
      <c r="J11" s="9" t="s">
        <v>37</v>
      </c>
      <c r="K11" s="11"/>
      <c r="L11" s="11"/>
      <c r="M11" s="7" t="e">
        <f>VLOOKUP(D11,'Karur Sub Division'!$E$2:$E$18,5,FALSE)</f>
        <v>#N/A</v>
      </c>
    </row>
    <row r="12" spans="1:13" ht="49.5" thickBot="1" x14ac:dyDescent="0.3">
      <c r="A12" s="8" t="s">
        <v>34</v>
      </c>
      <c r="B12" s="9" t="s">
        <v>35</v>
      </c>
      <c r="C12" s="9" t="s">
        <v>9</v>
      </c>
      <c r="D12" s="10">
        <v>29106823</v>
      </c>
      <c r="E12" s="9" t="s">
        <v>48</v>
      </c>
      <c r="F12" s="10" t="s">
        <v>39</v>
      </c>
      <c r="G12" s="10">
        <v>621308</v>
      </c>
      <c r="H12" s="10">
        <v>10.983223000000001</v>
      </c>
      <c r="I12" s="10">
        <v>78.143240000000006</v>
      </c>
      <c r="J12" s="9" t="s">
        <v>37</v>
      </c>
      <c r="K12" s="11"/>
      <c r="L12" s="11"/>
      <c r="M12" s="7" t="e">
        <f>VLOOKUP(D12,'Karur Sub Division'!$E$2:$E$18,5,FALSE)</f>
        <v>#N/A</v>
      </c>
    </row>
    <row r="13" spans="1:13" ht="49.5" thickBot="1" x14ac:dyDescent="0.3">
      <c r="A13" s="8" t="s">
        <v>34</v>
      </c>
      <c r="B13" s="9" t="s">
        <v>35</v>
      </c>
      <c r="C13" s="9" t="s">
        <v>9</v>
      </c>
      <c r="D13" s="10">
        <v>29106830</v>
      </c>
      <c r="E13" s="9" t="s">
        <v>49</v>
      </c>
      <c r="F13" s="10" t="s">
        <v>39</v>
      </c>
      <c r="G13" s="10">
        <v>621308</v>
      </c>
      <c r="H13" s="10">
        <v>10.369157</v>
      </c>
      <c r="I13" s="10">
        <v>78.483710000000002</v>
      </c>
      <c r="J13" s="9" t="s">
        <v>37</v>
      </c>
      <c r="K13" s="11"/>
      <c r="L13" s="11"/>
      <c r="M13" s="7" t="e">
        <f>VLOOKUP(D13,'Karur Sub Division'!$E$2:$E$18,5,FALSE)</f>
        <v>#N/A</v>
      </c>
    </row>
    <row r="14" spans="1:13" ht="49.5" thickBot="1" x14ac:dyDescent="0.3">
      <c r="A14" s="8" t="s">
        <v>34</v>
      </c>
      <c r="B14" s="9" t="s">
        <v>35</v>
      </c>
      <c r="C14" s="9" t="s">
        <v>9</v>
      </c>
      <c r="D14" s="10">
        <v>29106839</v>
      </c>
      <c r="E14" s="9" t="s">
        <v>50</v>
      </c>
      <c r="F14" s="10" t="s">
        <v>39</v>
      </c>
      <c r="G14" s="10">
        <v>639205</v>
      </c>
      <c r="H14" s="10">
        <v>10.729429</v>
      </c>
      <c r="I14" s="10">
        <v>77.873059999999995</v>
      </c>
      <c r="J14" s="9" t="s">
        <v>37</v>
      </c>
      <c r="K14" s="11"/>
      <c r="L14" s="11"/>
      <c r="M14" s="7" t="e">
        <f>VLOOKUP(D14,'Karur Sub Division'!$E$2:$E$18,5,FALSE)</f>
        <v>#N/A</v>
      </c>
    </row>
    <row r="15" spans="1:13" ht="49.5" thickBot="1" x14ac:dyDescent="0.3">
      <c r="A15" s="8" t="s">
        <v>34</v>
      </c>
      <c r="B15" s="9" t="s">
        <v>35</v>
      </c>
      <c r="C15" s="9" t="s">
        <v>9</v>
      </c>
      <c r="D15" s="10">
        <v>29640130</v>
      </c>
      <c r="E15" s="9" t="s">
        <v>51</v>
      </c>
      <c r="F15" s="10" t="s">
        <v>52</v>
      </c>
      <c r="G15" s="10">
        <v>621306</v>
      </c>
      <c r="H15" s="10">
        <v>10.96</v>
      </c>
      <c r="I15" s="10">
        <v>77.87</v>
      </c>
      <c r="J15" s="9" t="s">
        <v>37</v>
      </c>
      <c r="K15" s="11"/>
      <c r="L15" s="11"/>
      <c r="M15" s="7" t="e">
        <f>VLOOKUP(D15,'Karur Sub Division'!$E$2:$E$18,5,FALSE)</f>
        <v>#N/A</v>
      </c>
    </row>
    <row r="16" spans="1:13" ht="49.5" thickBot="1" x14ac:dyDescent="0.3">
      <c r="A16" s="8" t="s">
        <v>34</v>
      </c>
      <c r="B16" s="9" t="s">
        <v>35</v>
      </c>
      <c r="C16" s="9" t="s">
        <v>9</v>
      </c>
      <c r="D16" s="10">
        <v>29106860</v>
      </c>
      <c r="E16" s="9" t="s">
        <v>53</v>
      </c>
      <c r="F16" s="10" t="s">
        <v>39</v>
      </c>
      <c r="G16" s="10">
        <v>621305</v>
      </c>
      <c r="H16" s="10">
        <v>10.409554</v>
      </c>
      <c r="I16" s="10">
        <v>78.487380000000002</v>
      </c>
      <c r="J16" s="9" t="s">
        <v>37</v>
      </c>
      <c r="K16" s="11"/>
      <c r="L16" s="11"/>
      <c r="M16" s="7" t="e">
        <f>VLOOKUP(D16,'Karur Sub Division'!$E$2:$E$18,5,FALSE)</f>
        <v>#N/A</v>
      </c>
    </row>
    <row r="17" spans="1:13" ht="48.75" thickBot="1" x14ac:dyDescent="0.3">
      <c r="A17" s="16" t="s">
        <v>34</v>
      </c>
      <c r="B17" s="17" t="s">
        <v>35</v>
      </c>
      <c r="C17" s="17" t="s">
        <v>9</v>
      </c>
      <c r="D17" s="18">
        <v>29106861</v>
      </c>
      <c r="E17" s="17" t="s">
        <v>28</v>
      </c>
      <c r="F17" s="18" t="s">
        <v>39</v>
      </c>
      <c r="G17" s="18">
        <v>639116</v>
      </c>
      <c r="H17" s="18">
        <v>10.98</v>
      </c>
      <c r="I17" s="18">
        <v>78.099999999999994</v>
      </c>
      <c r="J17" s="17" t="s">
        <v>37</v>
      </c>
      <c r="K17" s="19">
        <v>11.675233902468401</v>
      </c>
      <c r="L17" s="19">
        <v>78.268140622440797</v>
      </c>
      <c r="M17" s="20" t="e">
        <f>VLOOKUP(D17,'Karur Sub Division'!$E$2:$E$18,5,FALSE)</f>
        <v>#N/A</v>
      </c>
    </row>
    <row r="18" spans="1:13" ht="49.5" thickBot="1" x14ac:dyDescent="0.3">
      <c r="A18" s="8" t="s">
        <v>34</v>
      </c>
      <c r="B18" s="9" t="s">
        <v>35</v>
      </c>
      <c r="C18" s="9" t="s">
        <v>9</v>
      </c>
      <c r="D18" s="10">
        <v>29106883</v>
      </c>
      <c r="E18" s="9" t="s">
        <v>54</v>
      </c>
      <c r="F18" s="10" t="s">
        <v>39</v>
      </c>
      <c r="G18" s="10">
        <v>621307</v>
      </c>
      <c r="H18" s="10">
        <v>10.513432</v>
      </c>
      <c r="I18" s="10">
        <v>78.219409999999996</v>
      </c>
      <c r="J18" s="9" t="s">
        <v>37</v>
      </c>
      <c r="K18" s="11"/>
      <c r="L18" s="11"/>
      <c r="M18" s="7" t="e">
        <f>VLOOKUP(D18,'Karur Sub Division'!$E$2:$E$18,5,FALSE)</f>
        <v>#N/A</v>
      </c>
    </row>
    <row r="19" spans="1:13" ht="48.75" thickBot="1" x14ac:dyDescent="0.3">
      <c r="A19" s="16" t="s">
        <v>34</v>
      </c>
      <c r="B19" s="17" t="s">
        <v>35</v>
      </c>
      <c r="C19" s="17" t="s">
        <v>9</v>
      </c>
      <c r="D19" s="18">
        <v>29106899</v>
      </c>
      <c r="E19" s="17" t="s">
        <v>26</v>
      </c>
      <c r="F19" s="18" t="s">
        <v>39</v>
      </c>
      <c r="G19" s="18">
        <v>639004</v>
      </c>
      <c r="H19" s="18">
        <v>11.04</v>
      </c>
      <c r="I19" s="18">
        <v>78.12</v>
      </c>
      <c r="J19" s="17" t="s">
        <v>37</v>
      </c>
      <c r="K19" s="19">
        <v>11.0138813581516</v>
      </c>
      <c r="L19" s="19">
        <v>78.140380266869897</v>
      </c>
      <c r="M19" s="20" t="e">
        <f>VLOOKUP(D19,'Karur Sub Division'!$E$2:$E$18,5,FALSE)</f>
        <v>#N/A</v>
      </c>
    </row>
    <row r="20" spans="1:13" ht="49.5" thickBot="1" x14ac:dyDescent="0.3">
      <c r="A20" s="8" t="s">
        <v>34</v>
      </c>
      <c r="B20" s="9" t="s">
        <v>35</v>
      </c>
      <c r="C20" s="9" t="s">
        <v>9</v>
      </c>
      <c r="D20" s="10">
        <v>29106902</v>
      </c>
      <c r="E20" s="9" t="s">
        <v>55</v>
      </c>
      <c r="F20" s="10" t="s">
        <v>39</v>
      </c>
      <c r="G20" s="10">
        <v>621302</v>
      </c>
      <c r="H20" s="10">
        <v>10.46585</v>
      </c>
      <c r="I20" s="10">
        <v>78.333010000000002</v>
      </c>
      <c r="J20" s="9" t="s">
        <v>37</v>
      </c>
      <c r="K20" s="11"/>
      <c r="L20" s="11"/>
      <c r="M20" s="7" t="e">
        <f>VLOOKUP(D20,'Karur Sub Division'!$E$2:$E$18,5,FALSE)</f>
        <v>#N/A</v>
      </c>
    </row>
    <row r="21" spans="1:13" ht="48.75" thickBot="1" x14ac:dyDescent="0.3">
      <c r="A21" s="16" t="s">
        <v>34</v>
      </c>
      <c r="B21" s="17" t="s">
        <v>35</v>
      </c>
      <c r="C21" s="17" t="s">
        <v>9</v>
      </c>
      <c r="D21" s="18">
        <v>29106905</v>
      </c>
      <c r="E21" s="17" t="s">
        <v>27</v>
      </c>
      <c r="F21" s="18" t="s">
        <v>39</v>
      </c>
      <c r="G21" s="18">
        <v>639002</v>
      </c>
      <c r="H21" s="18">
        <v>10.922317</v>
      </c>
      <c r="I21" s="18">
        <v>78.033799999999999</v>
      </c>
      <c r="J21" s="17" t="s">
        <v>37</v>
      </c>
      <c r="K21" s="19"/>
      <c r="L21" s="19"/>
      <c r="M21" s="20" t="e">
        <f>VLOOKUP(D21,'Karur Sub Division'!$E$2:$E$18,5,FALSE)</f>
        <v>#N/A</v>
      </c>
    </row>
    <row r="22" spans="1:13" ht="49.5" thickBot="1" x14ac:dyDescent="0.3">
      <c r="A22" s="8" t="s">
        <v>34</v>
      </c>
      <c r="B22" s="9" t="s">
        <v>35</v>
      </c>
      <c r="C22" s="9" t="s">
        <v>9</v>
      </c>
      <c r="D22" s="10">
        <v>29661936</v>
      </c>
      <c r="E22" s="9" t="s">
        <v>56</v>
      </c>
      <c r="F22" s="10" t="s">
        <v>36</v>
      </c>
      <c r="G22" s="10">
        <v>639207</v>
      </c>
      <c r="H22" s="10">
        <v>10.725438</v>
      </c>
      <c r="I22" s="10">
        <v>77.890659999999997</v>
      </c>
      <c r="J22" s="9" t="s">
        <v>37</v>
      </c>
      <c r="K22" s="11"/>
      <c r="L22" s="11"/>
      <c r="M22" s="7" t="e">
        <f>VLOOKUP(D22,'Karur Sub Division'!$E$2:$E$18,5,FALSE)</f>
        <v>#N/A</v>
      </c>
    </row>
    <row r="23" spans="1:13" ht="49.5" thickBot="1" x14ac:dyDescent="0.3">
      <c r="A23" s="8" t="s">
        <v>34</v>
      </c>
      <c r="B23" s="9" t="s">
        <v>35</v>
      </c>
      <c r="C23" s="9" t="s">
        <v>9</v>
      </c>
      <c r="D23" s="10">
        <v>29106910</v>
      </c>
      <c r="E23" s="9" t="s">
        <v>57</v>
      </c>
      <c r="F23" s="10" t="s">
        <v>39</v>
      </c>
      <c r="G23" s="10">
        <v>621302</v>
      </c>
      <c r="H23" s="10">
        <v>10.543170999999999</v>
      </c>
      <c r="I23" s="10">
        <v>78.395259999999993</v>
      </c>
      <c r="J23" s="9" t="s">
        <v>37</v>
      </c>
      <c r="K23" s="11"/>
      <c r="L23" s="11"/>
      <c r="M23" s="7" t="e">
        <f>VLOOKUP(D23,'Karur Sub Division'!$E$2:$E$18,5,FALSE)</f>
        <v>#N/A</v>
      </c>
    </row>
    <row r="24" spans="1:13" ht="49.5" thickBot="1" x14ac:dyDescent="0.3">
      <c r="A24" s="8" t="s">
        <v>34</v>
      </c>
      <c r="B24" s="9" t="s">
        <v>35</v>
      </c>
      <c r="C24" s="9" t="s">
        <v>9</v>
      </c>
      <c r="D24" s="10">
        <v>29106920</v>
      </c>
      <c r="E24" s="9" t="s">
        <v>58</v>
      </c>
      <c r="F24" s="10" t="s">
        <v>39</v>
      </c>
      <c r="G24" s="10">
        <v>621314</v>
      </c>
      <c r="H24" s="10">
        <v>10.368380999999999</v>
      </c>
      <c r="I24" s="10">
        <v>78.428849999999997</v>
      </c>
      <c r="J24" s="9" t="s">
        <v>37</v>
      </c>
      <c r="K24" s="11"/>
      <c r="L24" s="11"/>
      <c r="M24" s="7" t="e">
        <f>VLOOKUP(D24,'Karur Sub Division'!$E$2:$E$18,5,FALSE)</f>
        <v>#N/A</v>
      </c>
    </row>
    <row r="25" spans="1:13" ht="49.5" thickBot="1" x14ac:dyDescent="0.3">
      <c r="A25" s="8" t="s">
        <v>34</v>
      </c>
      <c r="B25" s="9" t="s">
        <v>35</v>
      </c>
      <c r="C25" s="9" t="s">
        <v>9</v>
      </c>
      <c r="D25" s="10">
        <v>29106924</v>
      </c>
      <c r="E25" s="9" t="s">
        <v>59</v>
      </c>
      <c r="F25" s="10" t="s">
        <v>39</v>
      </c>
      <c r="G25" s="10">
        <v>621315</v>
      </c>
      <c r="H25" s="10">
        <v>10.594661</v>
      </c>
      <c r="I25" s="10">
        <v>78.296719999999993</v>
      </c>
      <c r="J25" s="9" t="s">
        <v>37</v>
      </c>
      <c r="K25" s="11"/>
      <c r="L25" s="11"/>
      <c r="M25" s="7" t="e">
        <f>VLOOKUP(D25,'Karur Sub Division'!$E$2:$E$18,5,FALSE)</f>
        <v>#N/A</v>
      </c>
    </row>
    <row r="26" spans="1:13" ht="49.5" thickBot="1" x14ac:dyDescent="0.3">
      <c r="A26" s="8" t="s">
        <v>34</v>
      </c>
      <c r="B26" s="9" t="s">
        <v>35</v>
      </c>
      <c r="C26" s="9" t="s">
        <v>9</v>
      </c>
      <c r="D26" s="10">
        <v>29106945</v>
      </c>
      <c r="E26" s="9" t="s">
        <v>60</v>
      </c>
      <c r="F26" s="10" t="s">
        <v>39</v>
      </c>
      <c r="G26" s="10">
        <v>639120</v>
      </c>
      <c r="H26" s="10">
        <v>10.693924000000001</v>
      </c>
      <c r="I26" s="10">
        <v>78.302109999999999</v>
      </c>
      <c r="J26" s="9" t="s">
        <v>37</v>
      </c>
      <c r="K26" s="11"/>
      <c r="L26" s="11"/>
      <c r="M26" s="7" t="e">
        <f>VLOOKUP(D26,'Karur Sub Division'!$E$2:$E$18,5,FALSE)</f>
        <v>#N/A</v>
      </c>
    </row>
    <row r="27" spans="1:13" ht="49.5" thickBot="1" x14ac:dyDescent="0.3">
      <c r="A27" s="8" t="s">
        <v>34</v>
      </c>
      <c r="B27" s="9" t="s">
        <v>35</v>
      </c>
      <c r="C27" s="9" t="s">
        <v>9</v>
      </c>
      <c r="D27" s="10">
        <v>29106953</v>
      </c>
      <c r="E27" s="9" t="s">
        <v>61</v>
      </c>
      <c r="F27" s="10" t="s">
        <v>39</v>
      </c>
      <c r="G27" s="10">
        <v>621312</v>
      </c>
      <c r="H27" s="10">
        <v>10.624323</v>
      </c>
      <c r="I27" s="10">
        <v>78.435339999999997</v>
      </c>
      <c r="J27" s="9" t="s">
        <v>37</v>
      </c>
      <c r="K27" s="11"/>
      <c r="L27" s="11"/>
      <c r="M27" s="7" t="e">
        <f>VLOOKUP(D27,'Karur Sub Division'!$E$2:$E$18,5,FALSE)</f>
        <v>#N/A</v>
      </c>
    </row>
    <row r="28" spans="1:13" ht="49.5" thickBot="1" x14ac:dyDescent="0.3">
      <c r="A28" s="8" t="s">
        <v>34</v>
      </c>
      <c r="B28" s="9" t="s">
        <v>35</v>
      </c>
      <c r="C28" s="9" t="s">
        <v>9</v>
      </c>
      <c r="D28" s="10">
        <v>29106964</v>
      </c>
      <c r="E28" s="9" t="s">
        <v>62</v>
      </c>
      <c r="F28" s="10" t="s">
        <v>39</v>
      </c>
      <c r="G28" s="10">
        <v>621315</v>
      </c>
      <c r="H28" s="10">
        <v>10.622877000000001</v>
      </c>
      <c r="I28" s="10">
        <v>78.252589999999998</v>
      </c>
      <c r="J28" s="9" t="s">
        <v>37</v>
      </c>
      <c r="K28" s="11"/>
      <c r="L28" s="11"/>
      <c r="M28" s="7" t="e">
        <f>VLOOKUP(D28,'Karur Sub Division'!$E$2:$E$18,5,FALSE)</f>
        <v>#N/A</v>
      </c>
    </row>
    <row r="29" spans="1:13" ht="49.5" thickBot="1" x14ac:dyDescent="0.3">
      <c r="A29" s="8" t="s">
        <v>34</v>
      </c>
      <c r="B29" s="9" t="s">
        <v>35</v>
      </c>
      <c r="C29" s="9" t="s">
        <v>9</v>
      </c>
      <c r="D29" s="10">
        <v>29106967</v>
      </c>
      <c r="E29" s="9" t="s">
        <v>63</v>
      </c>
      <c r="F29" s="10" t="s">
        <v>39</v>
      </c>
      <c r="G29" s="10">
        <v>621311</v>
      </c>
      <c r="H29" s="10">
        <v>10.642219000000001</v>
      </c>
      <c r="I29" s="10">
        <v>78.275819999999996</v>
      </c>
      <c r="J29" s="9" t="s">
        <v>37</v>
      </c>
      <c r="K29" s="11"/>
      <c r="L29" s="11"/>
      <c r="M29" s="7" t="e">
        <f>VLOOKUP(D29,'Karur Sub Division'!$E$2:$E$18,5,FALSE)</f>
        <v>#N/A</v>
      </c>
    </row>
    <row r="30" spans="1:13" ht="49.5" thickBot="1" x14ac:dyDescent="0.3">
      <c r="A30" s="8" t="s">
        <v>34</v>
      </c>
      <c r="B30" s="9" t="s">
        <v>35</v>
      </c>
      <c r="C30" s="9" t="s">
        <v>9</v>
      </c>
      <c r="D30" s="10">
        <v>29106971</v>
      </c>
      <c r="E30" s="9" t="s">
        <v>64</v>
      </c>
      <c r="F30" s="10" t="s">
        <v>39</v>
      </c>
      <c r="G30" s="10">
        <v>639203</v>
      </c>
      <c r="H30" s="10">
        <v>10.67</v>
      </c>
      <c r="I30" s="10">
        <v>78.010000000000005</v>
      </c>
      <c r="J30" s="9" t="s">
        <v>37</v>
      </c>
      <c r="K30" s="11"/>
      <c r="L30" s="11"/>
      <c r="M30" s="7" t="e">
        <f>VLOOKUP(D30,'Karur Sub Division'!$E$2:$E$18,5,FALSE)</f>
        <v>#N/A</v>
      </c>
    </row>
    <row r="31" spans="1:13" ht="49.5" thickBot="1" x14ac:dyDescent="0.3">
      <c r="A31" s="8" t="s">
        <v>34</v>
      </c>
      <c r="B31" s="9" t="s">
        <v>35</v>
      </c>
      <c r="C31" s="9" t="s">
        <v>9</v>
      </c>
      <c r="D31" s="10">
        <v>29106980</v>
      </c>
      <c r="E31" s="9" t="s">
        <v>65</v>
      </c>
      <c r="F31" s="10" t="s">
        <v>39</v>
      </c>
      <c r="G31" s="10">
        <v>621314</v>
      </c>
      <c r="H31" s="10">
        <v>10.469631</v>
      </c>
      <c r="I31" s="10">
        <v>78.457260000000005</v>
      </c>
      <c r="J31" s="9" t="s">
        <v>37</v>
      </c>
      <c r="K31" s="11"/>
      <c r="L31" s="11"/>
      <c r="M31" s="7" t="e">
        <f>VLOOKUP(D31,'Karur Sub Division'!$E$2:$E$18,5,FALSE)</f>
        <v>#N/A</v>
      </c>
    </row>
    <row r="32" spans="1:13" ht="49.5" thickBot="1" x14ac:dyDescent="0.3">
      <c r="A32" s="8" t="s">
        <v>34</v>
      </c>
      <c r="B32" s="9" t="s">
        <v>35</v>
      </c>
      <c r="C32" s="9" t="s">
        <v>9</v>
      </c>
      <c r="D32" s="10">
        <v>29106982</v>
      </c>
      <c r="E32" s="9" t="s">
        <v>66</v>
      </c>
      <c r="F32" s="10" t="s">
        <v>39</v>
      </c>
      <c r="G32" s="10">
        <v>621313</v>
      </c>
      <c r="H32" s="10">
        <v>10.712436</v>
      </c>
      <c r="I32" s="10">
        <v>78.336590000000001</v>
      </c>
      <c r="J32" s="9" t="s">
        <v>37</v>
      </c>
      <c r="K32" s="11"/>
      <c r="L32" s="11"/>
      <c r="M32" s="7" t="e">
        <f>VLOOKUP(D32,'Karur Sub Division'!$E$2:$E$18,5,FALSE)</f>
        <v>#N/A</v>
      </c>
    </row>
    <row r="33" spans="1:13" ht="49.5" thickBot="1" x14ac:dyDescent="0.3">
      <c r="A33" s="8" t="s">
        <v>34</v>
      </c>
      <c r="B33" s="9" t="s">
        <v>35</v>
      </c>
      <c r="C33" s="9" t="s">
        <v>9</v>
      </c>
      <c r="D33" s="10">
        <v>29106983</v>
      </c>
      <c r="E33" s="9" t="s">
        <v>67</v>
      </c>
      <c r="F33" s="10" t="s">
        <v>39</v>
      </c>
      <c r="G33" s="10">
        <v>621315</v>
      </c>
      <c r="H33" s="10">
        <v>10.524380000000001</v>
      </c>
      <c r="I33" s="10">
        <v>78.289249999999996</v>
      </c>
      <c r="J33" s="9" t="s">
        <v>37</v>
      </c>
      <c r="K33" s="11"/>
      <c r="L33" s="11"/>
      <c r="M33" s="7" t="e">
        <f>VLOOKUP(D33,'Karur Sub Division'!$E$2:$E$18,5,FALSE)</f>
        <v>#N/A</v>
      </c>
    </row>
    <row r="34" spans="1:13" ht="49.5" thickBot="1" x14ac:dyDescent="0.3">
      <c r="A34" s="8" t="s">
        <v>34</v>
      </c>
      <c r="B34" s="9" t="s">
        <v>35</v>
      </c>
      <c r="C34" s="9" t="s">
        <v>9</v>
      </c>
      <c r="D34" s="10">
        <v>29106985</v>
      </c>
      <c r="E34" s="9" t="s">
        <v>68</v>
      </c>
      <c r="F34" s="10" t="s">
        <v>39</v>
      </c>
      <c r="G34" s="10">
        <v>621305</v>
      </c>
      <c r="H34" s="10">
        <v>10.409122999999999</v>
      </c>
      <c r="I34" s="10">
        <v>78.487530000000007</v>
      </c>
      <c r="J34" s="9" t="s">
        <v>37</v>
      </c>
      <c r="K34" s="11"/>
      <c r="L34" s="11"/>
      <c r="M34" s="7" t="e">
        <f>VLOOKUP(D34,'Karur Sub Division'!$E$2:$E$18,5,FALSE)</f>
        <v>#N/A</v>
      </c>
    </row>
    <row r="35" spans="1:13" ht="49.5" thickBot="1" x14ac:dyDescent="0.3">
      <c r="A35" s="8" t="s">
        <v>34</v>
      </c>
      <c r="B35" s="9" t="s">
        <v>35</v>
      </c>
      <c r="C35" s="9" t="s">
        <v>9</v>
      </c>
      <c r="D35" s="10">
        <v>29106989</v>
      </c>
      <c r="E35" s="9" t="s">
        <v>69</v>
      </c>
      <c r="F35" s="10" t="s">
        <v>39</v>
      </c>
      <c r="G35" s="10">
        <v>621310</v>
      </c>
      <c r="H35" s="10">
        <v>10.622852999999999</v>
      </c>
      <c r="I35" s="10">
        <v>78.252570000000006</v>
      </c>
      <c r="J35" s="9" t="s">
        <v>37</v>
      </c>
      <c r="K35" s="11"/>
      <c r="L35" s="11"/>
      <c r="M35" s="7" t="e">
        <f>VLOOKUP(D35,'Karur Sub Division'!$E$2:$E$18,5,FALSE)</f>
        <v>#N/A</v>
      </c>
    </row>
    <row r="36" spans="1:13" ht="49.5" thickBot="1" x14ac:dyDescent="0.3">
      <c r="A36" s="8" t="s">
        <v>34</v>
      </c>
      <c r="B36" s="9" t="s">
        <v>35</v>
      </c>
      <c r="C36" s="9" t="s">
        <v>9</v>
      </c>
      <c r="D36" s="10">
        <v>29106992</v>
      </c>
      <c r="E36" s="9" t="s">
        <v>70</v>
      </c>
      <c r="F36" s="10" t="s">
        <v>39</v>
      </c>
      <c r="G36" s="10">
        <v>621302</v>
      </c>
      <c r="H36" s="10">
        <v>10.650817</v>
      </c>
      <c r="I36" s="10">
        <v>78.301169999999999</v>
      </c>
      <c r="J36" s="9" t="s">
        <v>37</v>
      </c>
      <c r="K36" s="11"/>
      <c r="L36" s="11"/>
      <c r="M36" s="7" t="e">
        <f>VLOOKUP(D36,'Karur Sub Division'!$E$2:$E$18,5,FALSE)</f>
        <v>#N/A</v>
      </c>
    </row>
    <row r="37" spans="1:13" ht="49.5" thickBot="1" x14ac:dyDescent="0.3">
      <c r="A37" s="8" t="s">
        <v>34</v>
      </c>
      <c r="B37" s="9" t="s">
        <v>35</v>
      </c>
      <c r="C37" s="9" t="s">
        <v>9</v>
      </c>
      <c r="D37" s="10">
        <v>29107009</v>
      </c>
      <c r="E37" s="9" t="s">
        <v>71</v>
      </c>
      <c r="F37" s="10" t="s">
        <v>39</v>
      </c>
      <c r="G37" s="10">
        <v>621307</v>
      </c>
      <c r="H37" s="10">
        <v>10.513230999999999</v>
      </c>
      <c r="I37" s="10">
        <v>78.219449999999995</v>
      </c>
      <c r="J37" s="9" t="s">
        <v>37</v>
      </c>
      <c r="K37" s="11"/>
      <c r="L37" s="11"/>
      <c r="M37" s="7" t="e">
        <f>VLOOKUP(D37,'Karur Sub Division'!$E$2:$E$18,5,FALSE)</f>
        <v>#N/A</v>
      </c>
    </row>
    <row r="38" spans="1:13" ht="49.5" thickBot="1" x14ac:dyDescent="0.3">
      <c r="A38" s="8" t="s">
        <v>34</v>
      </c>
      <c r="B38" s="9" t="s">
        <v>35</v>
      </c>
      <c r="C38" s="9" t="s">
        <v>9</v>
      </c>
      <c r="D38" s="10">
        <v>29107010</v>
      </c>
      <c r="E38" s="9" t="s">
        <v>72</v>
      </c>
      <c r="F38" s="10" t="s">
        <v>39</v>
      </c>
      <c r="G38" s="10">
        <v>639119</v>
      </c>
      <c r="H38" s="10">
        <v>10.672841999999999</v>
      </c>
      <c r="I38" s="10">
        <v>78.318269999999998</v>
      </c>
      <c r="J38" s="9" t="s">
        <v>37</v>
      </c>
      <c r="K38" s="11"/>
      <c r="L38" s="11"/>
      <c r="M38" s="7" t="e">
        <f>VLOOKUP(D38,'Karur Sub Division'!$E$2:$E$18,5,FALSE)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Karur Sub Division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2026-06-24T05:02:55Z</cp:lastPrinted>
  <dcterms:created xsi:type="dcterms:W3CDTF">2026-06-23T02:09:09Z</dcterms:created>
  <dcterms:modified xsi:type="dcterms:W3CDTF">2026-08-06T12:20:41Z</dcterms:modified>
</cp:coreProperties>
</file>