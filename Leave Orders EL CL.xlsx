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xr:revisionPtr revIDLastSave="0" documentId="13_ncr:1_{4A0B5AA4-50FB-4CDA-A8BA-7466A561F47F}" xr6:coauthVersionLast="47" xr6:coauthVersionMax="47" xr10:uidLastSave="{00000000-0000-0000-0000-000000000000}"/>
  <bookViews>
    <workbookView xWindow="-120" yWindow="-120" windowWidth="29040" windowHeight="15840" tabRatio="701" firstSheet="6" activeTab="6" xr2:uid="{00000000-000D-0000-FFFF-FFFF00000000}"/>
  </bookViews>
  <sheets>
    <sheet name="Karur HO - GDS-Paid Leave" sheetId="1" state="hidden" r:id="rId1"/>
    <sheet name="Kulittalai HO - GDS-Paid Leave" sheetId="2" state="hidden" r:id="rId2"/>
    <sheet name="Karur HO - Training" sheetId="3" state="hidden" r:id="rId3"/>
    <sheet name="Kulittalai HO - Training" sheetId="4" state="hidden" r:id="rId4"/>
    <sheet name="Karur HO - GDS-LWA" sheetId="5" state="hidden" r:id="rId5"/>
    <sheet name="Kulittalai HO - GDS-LWA" sheetId="6" state="hidden" r:id="rId6"/>
    <sheet name="Karur HO - Earned Leave" sheetId="7" r:id="rId7"/>
    <sheet name="Karur HO - Casual Leave (CL)" sheetId="8" r:id="rId8"/>
    <sheet name="Karur HO - GDS-Special CL" sheetId="9" state="hidden" r:id="rId9"/>
  </sheets>
  <externalReferences>
    <externalReference r:id="rId10"/>
  </externalReferences>
  <definedNames>
    <definedName name="_xlnm._FilterDatabase" localSheetId="4" hidden="1">'Karur HO - GDS-LWA'!$A$8:$J$80</definedName>
    <definedName name="_xlnm.Print_Titles" localSheetId="7">'Karur HO - Casual Leave (CL)'!$8:$8</definedName>
    <definedName name="_xlnm.Print_Titles" localSheetId="6">'Karur HO - Earned Leave'!$8:$8</definedName>
    <definedName name="_xlnm.Print_Titles" localSheetId="4">'Karur HO - GDS-LWA'!$8:$8</definedName>
    <definedName name="_xlnm.Print_Titles" localSheetId="0">'Karur HO - GDS-Paid Leave'!$8:$8</definedName>
    <definedName name="_xlnm.Print_Titles" localSheetId="8">'Karur HO - GDS-Special CL'!$8:$8</definedName>
    <definedName name="_xlnm.Print_Titles" localSheetId="2">'Karur HO - Training'!$8:$8</definedName>
    <definedName name="_xlnm.Print_Titles" localSheetId="5">'Kulittalai HO - GDS-LWA'!$8:$8</definedName>
    <definedName name="_xlnm.Print_Titles" localSheetId="1">'Kulittalai HO - GDS-Paid Leave'!$8:$8</definedName>
    <definedName name="_xlnm.Print_Titles" localSheetId="3">'Kulittalai HO - Training'!$8:$8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0" i="7" l="1"/>
  <c r="H24" i="7" s="1"/>
  <c r="H11" i="7"/>
  <c r="H12" i="7"/>
  <c r="H13" i="7"/>
  <c r="H14" i="7"/>
  <c r="H15" i="7"/>
  <c r="H16" i="7"/>
  <c r="H17" i="7"/>
  <c r="H18" i="7"/>
  <c r="H19" i="7"/>
  <c r="H20" i="7"/>
  <c r="H21" i="7"/>
  <c r="H22" i="7"/>
  <c r="H23" i="7"/>
  <c r="H10" i="8"/>
  <c r="H11" i="8"/>
  <c r="H12" i="8"/>
  <c r="H13" i="8"/>
  <c r="H14" i="8"/>
  <c r="H9" i="8"/>
  <c r="M13" i="8"/>
  <c r="L13" i="8"/>
  <c r="M14" i="8"/>
  <c r="L14" i="8"/>
  <c r="M12" i="8"/>
  <c r="L12" i="8"/>
  <c r="M11" i="8"/>
  <c r="L11" i="8"/>
  <c r="J21" i="7"/>
  <c r="J22" i="7"/>
  <c r="J20" i="7"/>
  <c r="J19" i="7"/>
  <c r="J23" i="7"/>
  <c r="L20" i="7"/>
  <c r="M20" i="7"/>
  <c r="L21" i="7"/>
  <c r="M21" i="7"/>
  <c r="L22" i="7"/>
  <c r="M22" i="7"/>
  <c r="L23" i="7"/>
  <c r="M23" i="7"/>
  <c r="L18" i="7"/>
  <c r="M18" i="7"/>
  <c r="L19" i="7"/>
  <c r="M19" i="7"/>
  <c r="L10" i="7"/>
  <c r="M10" i="7"/>
  <c r="L11" i="7"/>
  <c r="M11" i="7"/>
  <c r="L12" i="7"/>
  <c r="M12" i="7"/>
  <c r="L13" i="7"/>
  <c r="M13" i="7"/>
  <c r="L14" i="7"/>
  <c r="M14" i="7"/>
  <c r="L15" i="7"/>
  <c r="M15" i="7"/>
  <c r="L16" i="7"/>
  <c r="M16" i="7"/>
  <c r="L17" i="7"/>
  <c r="M17" i="7"/>
  <c r="M9" i="7"/>
  <c r="L9" i="7"/>
  <c r="H9" i="7"/>
  <c r="H15" i="8" l="1"/>
</calcChain>
</file>

<file path=xl/sharedStrings.xml><?xml version="1.0" encoding="utf-8"?>
<sst xmlns="http://schemas.openxmlformats.org/spreadsheetml/2006/main" count="2797" uniqueCount="705">
  <si>
    <t>DEPARTMENT OF POSTS</t>
  </si>
  <si>
    <t>O/o the Asst Supdt of Posts, Karur Sub Dn., Karur 639001</t>
  </si>
  <si>
    <t>Memo No. KRR/LWA - JUNE 26/dlgs dated at Karur 25.06.2026</t>
  </si>
  <si>
    <t>1. The following GDS have been permitted to proceed on LWA/Paid Leave/Spl Leave/Training as per the particulars noted against each.</t>
  </si>
  <si>
    <t>2. The appointment of substitutes by the GDS is approved on the clear understanding that the substitute may be discharged by the undersigned or by the appointing authority in case of BPMs at any time without assigning any reason.</t>
  </si>
  <si>
    <t>3. The substitutes are entitled only to the minimum of the TRCA applicable to GDS.</t>
  </si>
  <si>
    <t>Karur HO    |    Leave Type: GDS-Paid Leave    |    Total Records: 135    |    Total Days: 280</t>
  </si>
  <si>
    <t>Sl. No</t>
  </si>
  <si>
    <t>Emp_ID</t>
  </si>
  <si>
    <t>Emp_Name</t>
  </si>
  <si>
    <t>Office_Name</t>
  </si>
  <si>
    <t>Start_Date</t>
  </si>
  <si>
    <t>End_Date</t>
  </si>
  <si>
    <t>No._Of_Days</t>
  </si>
  <si>
    <t>Substitute_Name</t>
  </si>
  <si>
    <t>Substitute_ID</t>
  </si>
  <si>
    <t>Remarks</t>
  </si>
  <si>
    <t>50677191</t>
  </si>
  <si>
    <t>RAGASUDHA M</t>
  </si>
  <si>
    <t>Andankoil S.O</t>
  </si>
  <si>
    <t>15-06-2026</t>
  </si>
  <si>
    <t>20-06-2026</t>
  </si>
  <si>
    <t>HARIPRIYA S</t>
  </si>
  <si>
    <t>60120619</t>
  </si>
  <si>
    <t>Semester examination</t>
  </si>
  <si>
    <t>50670337</t>
  </si>
  <si>
    <t>DHIVYA P</t>
  </si>
  <si>
    <t>Athur B.O</t>
  </si>
  <si>
    <t>PRABHAVATHI</t>
  </si>
  <si>
    <t>60032401</t>
  </si>
  <si>
    <t>Personal work</t>
  </si>
  <si>
    <t>50662892</t>
  </si>
  <si>
    <t>NAVEENA P</t>
  </si>
  <si>
    <t>24-06-2026</t>
  </si>
  <si>
    <t>Personal affairs</t>
  </si>
  <si>
    <t>50653044</t>
  </si>
  <si>
    <t>VIVEKA S</t>
  </si>
  <si>
    <t>10-06-2026</t>
  </si>
  <si>
    <t>13-06-2026</t>
  </si>
  <si>
    <t>ATCHAYA V</t>
  </si>
  <si>
    <t>60047652</t>
  </si>
  <si>
    <t>50089709</t>
  </si>
  <si>
    <t>R AMSAVALLI</t>
  </si>
  <si>
    <t>Dalavapalayam B.O</t>
  </si>
  <si>
    <t>23-06-2026</t>
  </si>
  <si>
    <t>25-06-2026</t>
  </si>
  <si>
    <t>SURYA R</t>
  </si>
  <si>
    <t>60049842</t>
  </si>
  <si>
    <t>medical affairs</t>
  </si>
  <si>
    <t>29-06-2026</t>
  </si>
  <si>
    <t>30-06-2026</t>
  </si>
  <si>
    <t>NANDHINI V</t>
  </si>
  <si>
    <t>60133843</t>
  </si>
  <si>
    <t>50089483</t>
  </si>
  <si>
    <t>K BANUMATHI</t>
  </si>
  <si>
    <t>East Thavittupalayam B.O</t>
  </si>
  <si>
    <t>03-06-2026</t>
  </si>
  <si>
    <t>04-06-2026</t>
  </si>
  <si>
    <t>GEETHA R</t>
  </si>
  <si>
    <t>60057919</t>
  </si>
  <si>
    <t>personal affairs</t>
  </si>
  <si>
    <t>50472185</t>
  </si>
  <si>
    <t>KARTHIKA S</t>
  </si>
  <si>
    <t>Emur B.O</t>
  </si>
  <si>
    <t>06-06-2026</t>
  </si>
  <si>
    <t>NITHYA M</t>
  </si>
  <si>
    <t>60087891</t>
  </si>
  <si>
    <t>Personal</t>
  </si>
  <si>
    <t>19-06-2026</t>
  </si>
  <si>
    <t>50506974</t>
  </si>
  <si>
    <t>RESHMA S</t>
  </si>
  <si>
    <t>22-06-2026</t>
  </si>
  <si>
    <t>50695560</t>
  </si>
  <si>
    <t>BOOPATHI C</t>
  </si>
  <si>
    <t>Gandhigramam S.O</t>
  </si>
  <si>
    <t>09-06-2026</t>
  </si>
  <si>
    <t>N/A</t>
  </si>
  <si>
    <t>marriage</t>
  </si>
  <si>
    <t>50702930</t>
  </si>
  <si>
    <t>DEEPTHI S</t>
  </si>
  <si>
    <t>Kadambankurichi B.O</t>
  </si>
  <si>
    <t>18-06-2026</t>
  </si>
  <si>
    <t>BHARATHI R</t>
  </si>
  <si>
    <t>60007819</t>
  </si>
  <si>
    <t>50548130</t>
  </si>
  <si>
    <t>K RAJESH</t>
  </si>
  <si>
    <t>BOOPATHI P</t>
  </si>
  <si>
    <t>60080360</t>
  </si>
  <si>
    <t>Personal Affairs</t>
  </si>
  <si>
    <t>50470190</t>
  </si>
  <si>
    <t>AARTHI J</t>
  </si>
  <si>
    <t>Kagtithapuram S.O</t>
  </si>
  <si>
    <t>NANDHINI S M</t>
  </si>
  <si>
    <t>60103586</t>
  </si>
  <si>
    <t>SURIYA M</t>
  </si>
  <si>
    <t>60090200</t>
  </si>
  <si>
    <t>50506975</t>
  </si>
  <si>
    <t>KAVIYA PRIYA S</t>
  </si>
  <si>
    <t>16-06-2026</t>
  </si>
  <si>
    <t>17-06-2026</t>
  </si>
  <si>
    <t>SIVARAMAKRISHNAN C</t>
  </si>
  <si>
    <t>60046094</t>
  </si>
  <si>
    <t>50472110</t>
  </si>
  <si>
    <t>KEERTHIKA K</t>
  </si>
  <si>
    <t>Kakkavadi B.O</t>
  </si>
  <si>
    <t>01-06-2026</t>
  </si>
  <si>
    <t>DINESH N</t>
  </si>
  <si>
    <t>60087924</t>
  </si>
  <si>
    <t>50475720</t>
  </si>
  <si>
    <t>KALAIARASI J</t>
  </si>
  <si>
    <t>Karur Collectorate S.O</t>
  </si>
  <si>
    <t>27-06-2026</t>
  </si>
  <si>
    <t>SIVASANKAR A</t>
  </si>
  <si>
    <t>60034109</t>
  </si>
  <si>
    <t>Personal leave</t>
  </si>
  <si>
    <t>50695559</t>
  </si>
  <si>
    <t>SUSMITHA G</t>
  </si>
  <si>
    <t>SATHISH P</t>
  </si>
  <si>
    <t>60052289</t>
  </si>
  <si>
    <t>USHA A</t>
  </si>
  <si>
    <t>60116436</t>
  </si>
  <si>
    <t>Personal affairs, Daughter s health issue</t>
  </si>
  <si>
    <t>50485678</t>
  </si>
  <si>
    <t>SNEHA M</t>
  </si>
  <si>
    <t>Karur H.O</t>
  </si>
  <si>
    <t>BASKAR S</t>
  </si>
  <si>
    <t>60035360</t>
  </si>
  <si>
    <t>PERSONAL LEAVE</t>
  </si>
  <si>
    <t>PERSONAL WORK</t>
  </si>
  <si>
    <t>PERSONAL AFFAIRS</t>
  </si>
  <si>
    <t>50506776</t>
  </si>
  <si>
    <t>LATHA S</t>
  </si>
  <si>
    <t>Karur West S.O</t>
  </si>
  <si>
    <t>LATHA T</t>
  </si>
  <si>
    <t>60086819</t>
  </si>
  <si>
    <t>50645682</t>
  </si>
  <si>
    <t>KAVYA R</t>
  </si>
  <si>
    <t>Kodangipatti B.O</t>
  </si>
  <si>
    <t>NARMATHA R</t>
  </si>
  <si>
    <t>60008134</t>
  </si>
  <si>
    <t>50535387</t>
  </si>
  <si>
    <t>SRI GAYATHRI S</t>
  </si>
  <si>
    <t>Koyampalli B.O</t>
  </si>
  <si>
    <t>KAMALAKAMATCHI</t>
  </si>
  <si>
    <t>60032029</t>
  </si>
  <si>
    <t>50606277</t>
  </si>
  <si>
    <t>SANTHOSH K</t>
  </si>
  <si>
    <t>Kuppachipalayam B.O</t>
  </si>
  <si>
    <t>VIJAYARANI S</t>
  </si>
  <si>
    <t>60038678</t>
  </si>
  <si>
    <t>50705750</t>
  </si>
  <si>
    <t>KOUSALYA V</t>
  </si>
  <si>
    <t>Manavadi B.O</t>
  </si>
  <si>
    <t>50481149</t>
  </si>
  <si>
    <t>DHIVYA M</t>
  </si>
  <si>
    <t>Manmangalam B.O</t>
  </si>
  <si>
    <t>PONMURUGAN K</t>
  </si>
  <si>
    <t>60036364</t>
  </si>
  <si>
    <t>My brother is passed away</t>
  </si>
  <si>
    <t>50089866</t>
  </si>
  <si>
    <t>T THAMILARASI</t>
  </si>
  <si>
    <t>ASOKAN S</t>
  </si>
  <si>
    <t>60068027</t>
  </si>
  <si>
    <t>50617218</t>
  </si>
  <si>
    <t>CHARUMATHI M</t>
  </si>
  <si>
    <t>Melapalayam B.O</t>
  </si>
  <si>
    <t>Priya M</t>
  </si>
  <si>
    <t>60004423</t>
  </si>
  <si>
    <t>50467327</t>
  </si>
  <si>
    <t>VAISHALI N</t>
  </si>
  <si>
    <t>Mookanankurichi B.O</t>
  </si>
  <si>
    <t>50089704</t>
  </si>
  <si>
    <t>P TAMILARASAN</t>
  </si>
  <si>
    <t>Moolimangalam B.O</t>
  </si>
  <si>
    <t>Family function</t>
  </si>
  <si>
    <t>50491439</t>
  </si>
  <si>
    <t>SUVETHA M</t>
  </si>
  <si>
    <t>50089613</t>
  </si>
  <si>
    <t>M VANITHA</t>
  </si>
  <si>
    <t>Mudiganam B.O</t>
  </si>
  <si>
    <t>05-06-2026</t>
  </si>
  <si>
    <t>RAMYA K</t>
  </si>
  <si>
    <t>60052366</t>
  </si>
  <si>
    <t>50653050</t>
  </si>
  <si>
    <t>PRITHIKA M</t>
  </si>
  <si>
    <t>50535389</t>
  </si>
  <si>
    <t>PREETHA M</t>
  </si>
  <si>
    <t>Nanjaipugalur B.O</t>
  </si>
  <si>
    <t>KIRUBHA</t>
  </si>
  <si>
    <t>60031967</t>
  </si>
  <si>
    <t>Visiting hospital for father treatment</t>
  </si>
  <si>
    <t>50645678</t>
  </si>
  <si>
    <t>NIVEEISHNAA P V</t>
  </si>
  <si>
    <t>Nanniyur B.O</t>
  </si>
  <si>
    <t>08-06-2026</t>
  </si>
  <si>
    <t>AKILA M</t>
  </si>
  <si>
    <t>60034193</t>
  </si>
  <si>
    <t>Medical affairs</t>
  </si>
  <si>
    <t>50491436</t>
  </si>
  <si>
    <t>MYTHILY S</t>
  </si>
  <si>
    <t>Nerur B.O</t>
  </si>
  <si>
    <t>VINOTH M</t>
  </si>
  <si>
    <t>60063517</t>
  </si>
  <si>
    <t>Personal reason</t>
  </si>
  <si>
    <t>MURUGESAN P</t>
  </si>
  <si>
    <t>60032495</t>
  </si>
  <si>
    <t>50089705</t>
  </si>
  <si>
    <t>P USHA</t>
  </si>
  <si>
    <t>50089851</t>
  </si>
  <si>
    <t>T LOGAMBAL</t>
  </si>
  <si>
    <t>Noyyal B.O</t>
  </si>
  <si>
    <t>50089715</t>
  </si>
  <si>
    <t>R CHANDRADEVI</t>
  </si>
  <si>
    <t>Palaiyur B.O</t>
  </si>
  <si>
    <t>11-06-2026</t>
  </si>
  <si>
    <t>50089827</t>
  </si>
  <si>
    <t>S POOVALINGAM</t>
  </si>
  <si>
    <t>12-06-2026</t>
  </si>
  <si>
    <t>VINOTHKUMAR S</t>
  </si>
  <si>
    <t>60091359</t>
  </si>
  <si>
    <t>50089856</t>
  </si>
  <si>
    <t>T RADIKA</t>
  </si>
  <si>
    <t>Pallapalayam B.O</t>
  </si>
  <si>
    <t>KAVIPRIYA E</t>
  </si>
  <si>
    <t>60091349</t>
  </si>
  <si>
    <t>POTHUMPONNU M</t>
  </si>
  <si>
    <t>60112476</t>
  </si>
  <si>
    <t>Medical leave</t>
  </si>
  <si>
    <t>50089533</t>
  </si>
  <si>
    <t>K SUBRAMANIAN</t>
  </si>
  <si>
    <t>Panjamadevi B.O</t>
  </si>
  <si>
    <t>YOGESH KS</t>
  </si>
  <si>
    <t>60132456</t>
  </si>
  <si>
    <t>50089554</t>
  </si>
  <si>
    <t>M ELANGOVAN</t>
  </si>
  <si>
    <t>Pasupathipalayam S.O</t>
  </si>
  <si>
    <t>personal leave</t>
  </si>
  <si>
    <t>50089761</t>
  </si>
  <si>
    <t>R SAMUVEL</t>
  </si>
  <si>
    <t>SATHISHKUMAR B</t>
  </si>
  <si>
    <t>60007349</t>
  </si>
  <si>
    <t>50645809</t>
  </si>
  <si>
    <t>Gobika B</t>
  </si>
  <si>
    <t>Poolampalayam B.O</t>
  </si>
  <si>
    <t>60113354</t>
  </si>
  <si>
    <t>50645824</t>
  </si>
  <si>
    <t>Logeshwaran K</t>
  </si>
  <si>
    <t>Pugalur Sugar Factory S.O</t>
  </si>
  <si>
    <t>Personal Work</t>
  </si>
  <si>
    <t>MADHUMATHI R</t>
  </si>
  <si>
    <t>60031618</t>
  </si>
  <si>
    <t>THIVYA V</t>
  </si>
  <si>
    <t>60077044</t>
  </si>
  <si>
    <t>50645680</t>
  </si>
  <si>
    <t>DAFFODIL JE K R</t>
  </si>
  <si>
    <t>Puliyur B.O</t>
  </si>
  <si>
    <t>Fever</t>
  </si>
  <si>
    <t>VAIDHEKI L</t>
  </si>
  <si>
    <t>60089296</t>
  </si>
  <si>
    <t>50613020</t>
  </si>
  <si>
    <t>JEEVANANTHAM K</t>
  </si>
  <si>
    <t>Puliyur Cement Factory S.O</t>
  </si>
  <si>
    <t>SANTHOSI P</t>
  </si>
  <si>
    <t>60046043</t>
  </si>
  <si>
    <t>Going to off</t>
  </si>
  <si>
    <t>50206651</t>
  </si>
  <si>
    <t>UMA MAGESHWARI A</t>
  </si>
  <si>
    <t>RAMYA P</t>
  </si>
  <si>
    <t>60131460</t>
  </si>
  <si>
    <t>50516089</t>
  </si>
  <si>
    <t>AMUTHA P</t>
  </si>
  <si>
    <t>Punnam B.O</t>
  </si>
  <si>
    <t>VENKATESH M</t>
  </si>
  <si>
    <t>60046061</t>
  </si>
  <si>
    <t>50596364</t>
  </si>
  <si>
    <t>50645669</t>
  </si>
  <si>
    <t>MADHUBALAN T</t>
  </si>
  <si>
    <t>Punnamchatram B.O</t>
  </si>
  <si>
    <t>50535396</t>
  </si>
  <si>
    <t>KARTHIKA T S</t>
  </si>
  <si>
    <t>Puthambur B.O</t>
  </si>
  <si>
    <t>BANUMATHI B</t>
  </si>
  <si>
    <t>60036488</t>
  </si>
  <si>
    <t>50596366</t>
  </si>
  <si>
    <t>VENKATESH B</t>
  </si>
  <si>
    <t>PRIYANKA B</t>
  </si>
  <si>
    <t>60082522</t>
  </si>
  <si>
    <t>50504714</t>
  </si>
  <si>
    <t>MONISHA P</t>
  </si>
  <si>
    <t>Renganathampettai B.O</t>
  </si>
  <si>
    <t>50089552</t>
  </si>
  <si>
    <t>M DHANABALAN</t>
  </si>
  <si>
    <t>S.Vellalapatti B.O</t>
  </si>
  <si>
    <t>SIVAPRAKASH S</t>
  </si>
  <si>
    <t>60046028</t>
  </si>
  <si>
    <t>50596365</t>
  </si>
  <si>
    <t>NISHA G</t>
  </si>
  <si>
    <t>KAVIYARASU S</t>
  </si>
  <si>
    <t>60073996</t>
  </si>
  <si>
    <t>50558675</t>
  </si>
  <si>
    <t>S DHARANI</t>
  </si>
  <si>
    <t>Semangi B.O</t>
  </si>
  <si>
    <t>KEERTHANA G</t>
  </si>
  <si>
    <t>60083410</t>
  </si>
  <si>
    <t>Paid leave</t>
  </si>
  <si>
    <t>50695556</t>
  </si>
  <si>
    <t>MANIKANDAN S</t>
  </si>
  <si>
    <t>Senapiratti B.O</t>
  </si>
  <si>
    <t>KIRUBA B</t>
  </si>
  <si>
    <t>60036225</t>
  </si>
  <si>
    <t>50662893</t>
  </si>
  <si>
    <t>RAGAVI S</t>
  </si>
  <si>
    <t>Sengunthapuram S.O</t>
  </si>
  <si>
    <t>K RAGAV</t>
  </si>
  <si>
    <t>60042821</t>
  </si>
  <si>
    <t>Sister marriage</t>
  </si>
  <si>
    <t>Temple function</t>
  </si>
  <si>
    <t>50645835</t>
  </si>
  <si>
    <t>Dharshini N</t>
  </si>
  <si>
    <t>Somur B.O</t>
  </si>
  <si>
    <t>RANJITHA C</t>
  </si>
  <si>
    <t>60039048</t>
  </si>
  <si>
    <t>50645679</t>
  </si>
  <si>
    <t>MANOJINI M</t>
  </si>
  <si>
    <t>RITHIKA SRI M</t>
  </si>
  <si>
    <t>60052273</t>
  </si>
  <si>
    <t>Personal affair</t>
  </si>
  <si>
    <t>50089700</t>
  </si>
  <si>
    <t>P SIVANANDAM</t>
  </si>
  <si>
    <t>Sukkaliyur B.O</t>
  </si>
  <si>
    <t>RAGUL S</t>
  </si>
  <si>
    <t>60031580</t>
  </si>
  <si>
    <t>50620166</t>
  </si>
  <si>
    <t>NITHEESH E</t>
  </si>
  <si>
    <t>Thalapatti B.O</t>
  </si>
  <si>
    <t>RAMESH P</t>
  </si>
  <si>
    <t>60109844</t>
  </si>
  <si>
    <t>50547965</t>
  </si>
  <si>
    <t>SATHISHKUMAR M</t>
  </si>
  <si>
    <t>Thanthonimalai S.O</t>
  </si>
  <si>
    <t>NITHIYASHRI S</t>
  </si>
  <si>
    <t>60034036</t>
  </si>
  <si>
    <t>50548134</t>
  </si>
  <si>
    <t>K KEERTHANA</t>
  </si>
  <si>
    <t>Thumbivadi B.O</t>
  </si>
  <si>
    <t>DEEPA P</t>
  </si>
  <si>
    <t>60043363</t>
  </si>
  <si>
    <t>50504723</t>
  </si>
  <si>
    <t>ABINAYA S</t>
  </si>
  <si>
    <t>Tirumanilaiyur S.O</t>
  </si>
  <si>
    <t>BAVITHRA M</t>
  </si>
  <si>
    <t>60031680</t>
  </si>
  <si>
    <t>MURUGAN A</t>
  </si>
  <si>
    <t>60045951</t>
  </si>
  <si>
    <t>50554476</t>
  </si>
  <si>
    <t>Vignesh N</t>
  </si>
  <si>
    <t>SURYA A</t>
  </si>
  <si>
    <t>60131476</t>
  </si>
  <si>
    <t>Health checkup</t>
  </si>
  <si>
    <t>Health issue</t>
  </si>
  <si>
    <t>Sick leave</t>
  </si>
  <si>
    <t>50491438</t>
  </si>
  <si>
    <t>VIVEK P</t>
  </si>
  <si>
    <t>Vangal East B.O</t>
  </si>
  <si>
    <t>GANDHIMATHI P</t>
  </si>
  <si>
    <t>60007558</t>
  </si>
  <si>
    <t>50089432</t>
  </si>
  <si>
    <t>C PANDIYAN</t>
  </si>
  <si>
    <t>Vangal S.O</t>
  </si>
  <si>
    <t>SUJITH V P</t>
  </si>
  <si>
    <t>60061732</t>
  </si>
  <si>
    <t>50689223</t>
  </si>
  <si>
    <t>Vedichipalayam B.O</t>
  </si>
  <si>
    <t>50558674</t>
  </si>
  <si>
    <t>A R JHAIYAKHAATHEMBHARI</t>
  </si>
  <si>
    <t>Velayuthampalayam S.O</t>
  </si>
  <si>
    <t>Domestic work</t>
  </si>
  <si>
    <t>DOMESTIC WORK</t>
  </si>
  <si>
    <t>50566122</t>
  </si>
  <si>
    <t>DEEPIKA N</t>
  </si>
  <si>
    <t>Vengamedu S.O</t>
  </si>
  <si>
    <t>SENTHILKUMAR S</t>
  </si>
  <si>
    <t>60035231</t>
  </si>
  <si>
    <t>personal</t>
  </si>
  <si>
    <t>50089529</t>
  </si>
  <si>
    <t>K SENTHILKUMAR</t>
  </si>
  <si>
    <t>VASUGI</t>
  </si>
  <si>
    <t>60093544</t>
  </si>
  <si>
    <t>personAL</t>
  </si>
  <si>
    <t>50653049</t>
  </si>
  <si>
    <t>KANIMOZHI J</t>
  </si>
  <si>
    <t>PERSONAL</t>
  </si>
  <si>
    <t>50089460</t>
  </si>
  <si>
    <t>G CHIDAMBARAM</t>
  </si>
  <si>
    <t>Vennamalai B.O</t>
  </si>
  <si>
    <t>SURESH KUMAR R</t>
  </si>
  <si>
    <t>60080368</t>
  </si>
  <si>
    <t>personal work</t>
  </si>
  <si>
    <t>50504715</t>
  </si>
  <si>
    <t>SIVASANKARI R</t>
  </si>
  <si>
    <t>PADMA C</t>
  </si>
  <si>
    <t>60036244</t>
  </si>
  <si>
    <t>50472112</t>
  </si>
  <si>
    <t>S PRITHIKA</t>
  </si>
  <si>
    <t>Vettamangalam B.O</t>
  </si>
  <si>
    <t>KOKILA M</t>
  </si>
  <si>
    <t>60128850</t>
  </si>
  <si>
    <t>50089822</t>
  </si>
  <si>
    <t>S NITHYAKALYANI</t>
  </si>
  <si>
    <t>Viswanathapuri B.O</t>
  </si>
  <si>
    <t>50585865</t>
  </si>
  <si>
    <t>VAANI N</t>
  </si>
  <si>
    <t>West Orathai B.O</t>
  </si>
  <si>
    <t>TOTAL (Karur HO)</t>
  </si>
  <si>
    <t>Memo No. KRR/LWA - JUNE 26 (KLT)/dlgs dated at Karur 25.06.2026</t>
  </si>
  <si>
    <t>Kulittalai HO    |    Leave Type: GDS-Paid Leave    |    Total Records: 11    |    Total Days: 22</t>
  </si>
  <si>
    <t>50464703</t>
  </si>
  <si>
    <t>SNEGA PRIYA B</t>
  </si>
  <si>
    <t>Karuppur B.O</t>
  </si>
  <si>
    <t>K Jeevitha</t>
  </si>
  <si>
    <t>60042678</t>
  </si>
  <si>
    <t>50558678</t>
  </si>
  <si>
    <t>GOKUL RAJ S</t>
  </si>
  <si>
    <t>Kattalai B.O</t>
  </si>
  <si>
    <t>SURESHKUMAR S</t>
  </si>
  <si>
    <t>60031981</t>
  </si>
  <si>
    <t>50089402</t>
  </si>
  <si>
    <t>A R ARUMUGAM</t>
  </si>
  <si>
    <t>Manavasi B.O</t>
  </si>
  <si>
    <t>KARTHI</t>
  </si>
  <si>
    <t>60045929</t>
  </si>
  <si>
    <t>medical issue</t>
  </si>
  <si>
    <t>50089878</t>
  </si>
  <si>
    <t>V GOMATHI</t>
  </si>
  <si>
    <t>SIBITHA P</t>
  </si>
  <si>
    <t>60044999</t>
  </si>
  <si>
    <t>Brother marriage</t>
  </si>
  <si>
    <t>50089868</t>
  </si>
  <si>
    <t>V ALAGUMANI</t>
  </si>
  <si>
    <t>Mayanur S.O</t>
  </si>
  <si>
    <t>MOTHILAL C</t>
  </si>
  <si>
    <t>60092846</t>
  </si>
  <si>
    <t>50514054</t>
  </si>
  <si>
    <t>YAMUNA V</t>
  </si>
  <si>
    <t>50582872</t>
  </si>
  <si>
    <t>SASI C</t>
  </si>
  <si>
    <t>Renganathapuram B.O</t>
  </si>
  <si>
    <t>MALAYALAN M</t>
  </si>
  <si>
    <t>60070272</t>
  </si>
  <si>
    <t>50576064</t>
  </si>
  <si>
    <t>KOKILA B</t>
  </si>
  <si>
    <t>Valayalkaranpudur B.O</t>
  </si>
  <si>
    <t>Devotional</t>
  </si>
  <si>
    <t>TOTAL (Kulittalai HO)</t>
  </si>
  <si>
    <t>Karur HO    |    Leave Type: Training    |    Total Records: 73    |    Total Days: 165</t>
  </si>
  <si>
    <t>50089680</t>
  </si>
  <si>
    <t>P NACHIMUTHU</t>
  </si>
  <si>
    <t>02-06-2026</t>
  </si>
  <si>
    <t>VALARMATHI N</t>
  </si>
  <si>
    <t>60105823</t>
  </si>
  <si>
    <t>Training at wtc</t>
  </si>
  <si>
    <t>Oneday workshop</t>
  </si>
  <si>
    <t>50089766</t>
  </si>
  <si>
    <t>R SELVARANI</t>
  </si>
  <si>
    <t>Appipalayam B.O</t>
  </si>
  <si>
    <t>Training</t>
  </si>
  <si>
    <t>One day work shop</t>
  </si>
  <si>
    <t>50089660</t>
  </si>
  <si>
    <t>P H KENNEDY SAHAYA RAJA</t>
  </si>
  <si>
    <t>training</t>
  </si>
  <si>
    <t>50470068</t>
  </si>
  <si>
    <t>SATHYA T</t>
  </si>
  <si>
    <t>Training at HO</t>
  </si>
  <si>
    <t>P KOKILA</t>
  </si>
  <si>
    <t>60038544</t>
  </si>
  <si>
    <t>50645685</t>
  </si>
  <si>
    <t>KEERTHANA S</t>
  </si>
  <si>
    <t>Kadaparai B.O</t>
  </si>
  <si>
    <t>CHITRA M</t>
  </si>
  <si>
    <t>60128855</t>
  </si>
  <si>
    <t>soft skills training</t>
  </si>
  <si>
    <t>Training at karur wtc</t>
  </si>
  <si>
    <t>50515476</t>
  </si>
  <si>
    <t>ESWARI S</t>
  </si>
  <si>
    <t>Training At WTC Karur</t>
  </si>
  <si>
    <t>Training at karur ho</t>
  </si>
  <si>
    <t>09-07-2026</t>
  </si>
  <si>
    <t>Induction training</t>
  </si>
  <si>
    <t>SOFT SKILL TRAINING</t>
  </si>
  <si>
    <t>Training at karur Ho</t>
  </si>
  <si>
    <t>BAGYALAKSHMI</t>
  </si>
  <si>
    <t>60032010</t>
  </si>
  <si>
    <t>50089430</t>
  </si>
  <si>
    <t>C MOHANA</t>
  </si>
  <si>
    <t>Minnampalli B.O</t>
  </si>
  <si>
    <t>50113729</t>
  </si>
  <si>
    <t>BRINDHADEVI R</t>
  </si>
  <si>
    <t>Nadayanur B.O</t>
  </si>
  <si>
    <t>50089485</t>
  </si>
  <si>
    <t>K DHAMAYANTHI</t>
  </si>
  <si>
    <t>Paganatham B.O</t>
  </si>
  <si>
    <t>Training leave</t>
  </si>
  <si>
    <t>50535395</t>
  </si>
  <si>
    <t>VASANTH N</t>
  </si>
  <si>
    <t>10394447</t>
  </si>
  <si>
    <t>VISHNU PRIYA S</t>
  </si>
  <si>
    <t>Pavithram B.O</t>
  </si>
  <si>
    <t>Induction Training</t>
  </si>
  <si>
    <t>10405859</t>
  </si>
  <si>
    <t>DARSHINI R B</t>
  </si>
  <si>
    <t>50089666</t>
  </si>
  <si>
    <t>Kamaraj R</t>
  </si>
  <si>
    <t>Training at karur HO</t>
  </si>
  <si>
    <t>10405863</t>
  </si>
  <si>
    <t>ANUSHUYA M</t>
  </si>
  <si>
    <t>Punjaipugalur B.O</t>
  </si>
  <si>
    <t>TRAINING</t>
  </si>
  <si>
    <t>workshop</t>
  </si>
  <si>
    <t>Soft Skill Training</t>
  </si>
  <si>
    <t>SOFTSKILL MARKETINY ONE DAY WORKSHOP ON 11.06.2026</t>
  </si>
  <si>
    <t>SATHYA G</t>
  </si>
  <si>
    <t>60036189</t>
  </si>
  <si>
    <t>10394462</t>
  </si>
  <si>
    <t>Soft skill Training</t>
  </si>
  <si>
    <t>MARAGATHAVALLI T</t>
  </si>
  <si>
    <t>60078453</t>
  </si>
  <si>
    <t>Training for karur H.o</t>
  </si>
  <si>
    <t>50089635</t>
  </si>
  <si>
    <t>N POONGOTHAI</t>
  </si>
  <si>
    <t>GDS BPM Training</t>
  </si>
  <si>
    <t>GDS Training</t>
  </si>
  <si>
    <t>50089591</t>
  </si>
  <si>
    <t>M R RAJA</t>
  </si>
  <si>
    <t>Soft Skill Training at Karur WTC</t>
  </si>
  <si>
    <t>50089480</t>
  </si>
  <si>
    <t>J SIVAKUMAR</t>
  </si>
  <si>
    <t>Training for ho</t>
  </si>
  <si>
    <t>50620288</t>
  </si>
  <si>
    <t>DARSHINI B</t>
  </si>
  <si>
    <t>Thoranakkalpatti B.O</t>
  </si>
  <si>
    <t>10394443</t>
  </si>
  <si>
    <t>SANDHIYA PRASATH</t>
  </si>
  <si>
    <t>Soft skill training</t>
  </si>
  <si>
    <t>50629515</t>
  </si>
  <si>
    <t>SUBIKSHA S</t>
  </si>
  <si>
    <t>Uppidamangalam B.O</t>
  </si>
  <si>
    <t>SENTHILKUMAR M</t>
  </si>
  <si>
    <t>60124709</t>
  </si>
  <si>
    <t>Training at ho</t>
  </si>
  <si>
    <t>10394467</t>
  </si>
  <si>
    <t>ELAKIYA S</t>
  </si>
  <si>
    <t>One day workshop reg Operational Soft Skills and Marketing of Postal Products and services</t>
  </si>
  <si>
    <t>Operational Soft Skills and Marketing of Postal Products and services</t>
  </si>
  <si>
    <t>50653128</t>
  </si>
  <si>
    <t>SRIMATHI SELVI A</t>
  </si>
  <si>
    <t>Veerarakkiam B.O</t>
  </si>
  <si>
    <t>NIVETHA V</t>
  </si>
  <si>
    <t>60053863</t>
  </si>
  <si>
    <t>Traning</t>
  </si>
  <si>
    <t>VENKATESHWARAN K</t>
  </si>
  <si>
    <t>60092864</t>
  </si>
  <si>
    <t>SABAREESWARAN R</t>
  </si>
  <si>
    <t>60124545</t>
  </si>
  <si>
    <t>Kulittalai HO    |    Leave Type: Training    |    Total Records: 8    |    Total Days: 8</t>
  </si>
  <si>
    <t>Training at Kulithalai HO</t>
  </si>
  <si>
    <t>Operational soft skills and Marketing of Postal Products and services at Kulittalai HO premises on 03.06.26</t>
  </si>
  <si>
    <t>50464704</t>
  </si>
  <si>
    <t>BOOMATHI M</t>
  </si>
  <si>
    <t>One day workshop training</t>
  </si>
  <si>
    <t>One day workshop training at kulithalai</t>
  </si>
  <si>
    <t>50089415</t>
  </si>
  <si>
    <t>B KARTHIKEYAN</t>
  </si>
  <si>
    <t>Karur HO    |    Leave Type: GDS-LWA    |    Total Records: 71    |    Total Days: 330</t>
  </si>
  <si>
    <t>50613025</t>
  </si>
  <si>
    <t>BHAVITHRA J</t>
  </si>
  <si>
    <t>RAMASAMY C</t>
  </si>
  <si>
    <t>60008196</t>
  </si>
  <si>
    <t>Officiating postman duty at karur collectore so</t>
  </si>
  <si>
    <t>26-06-2026</t>
  </si>
  <si>
    <t>Officiating postman duty at karur collectore</t>
  </si>
  <si>
    <t>Officiating postman duty at karur collectore so — (Approver: AFTER PAY CONFIRMATION JULY 2026 BILL)</t>
  </si>
  <si>
    <t>50514941</t>
  </si>
  <si>
    <t>GAYATHRI PITCHAI</t>
  </si>
  <si>
    <t>JANAKIDEVI M</t>
  </si>
  <si>
    <t>60112482</t>
  </si>
  <si>
    <t>Officiating MTS duty in Thanthonimalai so</t>
  </si>
  <si>
    <t>Hospital check up</t>
  </si>
  <si>
    <t>Postman duty sgp so</t>
  </si>
  <si>
    <t>Postman duty sgp so beat 5</t>
  </si>
  <si>
    <t>Pmduty at kct so</t>
  </si>
  <si>
    <t>Postman duty at sgp so</t>
  </si>
  <si>
    <t>50089860</t>
  </si>
  <si>
    <t>T SANGEETHA</t>
  </si>
  <si>
    <t>Kathalapatti B.O</t>
  </si>
  <si>
    <t>MAHESWARI P</t>
  </si>
  <si>
    <t>60038615</t>
  </si>
  <si>
    <t>50479316</t>
  </si>
  <si>
    <t>SRIDEVI T</t>
  </si>
  <si>
    <t>OFFICIATING MTS AT KARUR HO</t>
  </si>
  <si>
    <t>50535499</t>
  </si>
  <si>
    <t>SABARINATHAN S</t>
  </si>
  <si>
    <t>SABARI S</t>
  </si>
  <si>
    <t>60115775</t>
  </si>
  <si>
    <t>Postman officiating</t>
  </si>
  <si>
    <t>50558671</t>
  </si>
  <si>
    <t>R MADHURAVANI</t>
  </si>
  <si>
    <t>Punjaithottakurichi B.O</t>
  </si>
  <si>
    <t>Postman Duty at Pugalur SF SO</t>
  </si>
  <si>
    <t>50089396</t>
  </si>
  <si>
    <t>A MOTHILAL NEHRU</t>
  </si>
  <si>
    <t>OFFICIATING DUTY</t>
  </si>
  <si>
    <t>postman duty sgp</t>
  </si>
  <si>
    <t>Postman duty at sengunthapuram s.o</t>
  </si>
  <si>
    <t>50089872</t>
  </si>
  <si>
    <t>V C S RAJAN</t>
  </si>
  <si>
    <t>07-06-2026</t>
  </si>
  <si>
    <t>GOKUL G</t>
  </si>
  <si>
    <t>60082531</t>
  </si>
  <si>
    <t>heart operation</t>
  </si>
  <si>
    <t>Officiating MTS Duty</t>
  </si>
  <si>
    <t>Personal affairs — (Approver: AFTER PAY CONFIRMATION JULY 2026 BILL)</t>
  </si>
  <si>
    <t>BOOMATHI G</t>
  </si>
  <si>
    <t>60035399</t>
  </si>
  <si>
    <t>Mts duty at karur DO</t>
  </si>
  <si>
    <t>Mts duty at karur Do</t>
  </si>
  <si>
    <t>Mts officiating duty at karur DO</t>
  </si>
  <si>
    <t>SARANYA K</t>
  </si>
  <si>
    <t>60035330</t>
  </si>
  <si>
    <t>Postman officiating duty at thanthonimalai so</t>
  </si>
  <si>
    <t>14-06-2026</t>
  </si>
  <si>
    <t>Mts duty at Karur HO</t>
  </si>
  <si>
    <t>Mst duty at Karur HO</t>
  </si>
  <si>
    <t>50502902</t>
  </si>
  <si>
    <t>SRIRATHNA S</t>
  </si>
  <si>
    <t>Medical emergency</t>
  </si>
  <si>
    <t>POSTMAN OFFICIATING</t>
  </si>
  <si>
    <t>Officiating postman duty at Velayuthampalayam So</t>
  </si>
  <si>
    <t>Postman duty</t>
  </si>
  <si>
    <t>postman duty</t>
  </si>
  <si>
    <t>SEETHALAKSHMI J</t>
  </si>
  <si>
    <t>60035309</t>
  </si>
  <si>
    <t>Officiating postman duty</t>
  </si>
  <si>
    <t>Officiating postman duty — (Approver: AFTER PAY CONFIRMATION JULY 2026 BILL)</t>
  </si>
  <si>
    <t>OFFG POSTMAN BEAT III — (Approver: AFTER PAY CONFIRMATION JULY 2026 BILL)</t>
  </si>
  <si>
    <t>Officiating beat 3</t>
  </si>
  <si>
    <t>officiating beat 3</t>
  </si>
  <si>
    <t>Officiating beat 3 — (Approver: AFTER PAY CONFIRMATION JULY 2026 BILL)</t>
  </si>
  <si>
    <t>50506971</t>
  </si>
  <si>
    <t>MOHANA B</t>
  </si>
  <si>
    <t>Officiating</t>
  </si>
  <si>
    <t>Kulittalai HO    |    Leave Type: GDS-LWA    |    Total Records: 7    |    Total Days: 27</t>
  </si>
  <si>
    <t>Officiating postman duty at Velayuthampalayam so</t>
  </si>
  <si>
    <t>postman duty pasupathipalayam</t>
  </si>
  <si>
    <t>Postman duty pasupathipalayam</t>
  </si>
  <si>
    <t>Medical</t>
  </si>
  <si>
    <t>Officiating jeep driver</t>
  </si>
  <si>
    <t>INDHUMATHI P</t>
  </si>
  <si>
    <t>INDHUMATHI V</t>
  </si>
  <si>
    <t>HARIHARAN K</t>
  </si>
  <si>
    <t>10311303</t>
  </si>
  <si>
    <t>NIRMALA N</t>
  </si>
  <si>
    <t>10049690</t>
  </si>
  <si>
    <t>KUMARAN S</t>
  </si>
  <si>
    <t>10283242</t>
  </si>
  <si>
    <t>IYYAMMAL P</t>
  </si>
  <si>
    <t>10328037</t>
  </si>
  <si>
    <t>RAMYA R</t>
  </si>
  <si>
    <t>Karur HO    |    Leave Type: GDS-Special CL    |    Total Records: 5    |    Total Days: 22</t>
  </si>
  <si>
    <t>ADHAR DUTY</t>
  </si>
  <si>
    <t>adhar duty</t>
  </si>
  <si>
    <t>Aadhaar Camp at Pugalur SF SO</t>
  </si>
  <si>
    <t>Camp at Malar school</t>
  </si>
  <si>
    <t>MADHUBALA K</t>
  </si>
  <si>
    <t>No._Of_ Days</t>
  </si>
  <si>
    <t>Leave Type</t>
  </si>
  <si>
    <t>EL w/o MC</t>
  </si>
  <si>
    <t>Comm. Leave on MC</t>
  </si>
  <si>
    <t>PERSONAL LEAVE— (Approver: AFTER PAY CONFIRMATION JULY 2026 BILL)</t>
  </si>
  <si>
    <t>DOB</t>
  </si>
  <si>
    <t>DCCS</t>
  </si>
  <si>
    <t>Casual Leave</t>
  </si>
  <si>
    <t>3. Particulars furnished on the statement was checked and found correct</t>
  </si>
  <si>
    <t>TOTAL</t>
  </si>
  <si>
    <t>1. The employment of substitute was absolutely essential to carry out the   work of those who were granted Casual Leave</t>
  </si>
  <si>
    <t>GDS_ID</t>
  </si>
  <si>
    <t>Name of the GDS</t>
  </si>
  <si>
    <t>Designation and Office of GDS</t>
  </si>
  <si>
    <t>1. The employment of substitute was absolutely essential to carry out the work of those who were granted EL/ Commute leave/ Maternity Leave</t>
  </si>
  <si>
    <t>PRIYA A</t>
  </si>
  <si>
    <t>Maternity Leave</t>
  </si>
  <si>
    <t>ABPM, Punjaithottakurichi B.O</t>
  </si>
  <si>
    <t>ABPM, Vengamedu S.O</t>
  </si>
  <si>
    <t>GDS Mail Carrier, Vengamedu S.O</t>
  </si>
  <si>
    <t>Dak Sevak, Karur Collectorate S.O</t>
  </si>
  <si>
    <t>Dak Sevak, Thanthonimalai S.O</t>
  </si>
  <si>
    <t>Dak Sevak, Vengamedu S.O</t>
  </si>
  <si>
    <t>A R JHAIYA KHAATHEMBHARI</t>
  </si>
  <si>
    <t>2. No LR Postman/Group D candidate was available and that the nature of the work was such that the EL/ Commuted leave/ Maternity Leave  could not be managed without employment of whole time substitute.</t>
  </si>
  <si>
    <t>ABPM, Manavasi BO</t>
  </si>
  <si>
    <t>2. No LR Postman/Group D candidate was available and that the nature of the work was such that the Casual Leave could not be managed without employment of whole time substitute.</t>
  </si>
  <si>
    <t>Memo No. ASP/Postman &amp; MTS CL - JUNE 26/dlgs dated at Karur 30.06.2026</t>
  </si>
  <si>
    <t>Memo No. ASP/Postman &amp; MTS EL - JUNE 26/dlgs dated at Karur 30.06.2026</t>
  </si>
  <si>
    <t>Karur Sub Division - June 2026    |    Leave Type: Earned Leave/ Comm. Leave/ ML    |    Total Records: 15    |    Total Days: 60</t>
  </si>
  <si>
    <t>Karur Sub Division - June 2026       |    Leave Type: Casual Leave (CL)    |    Total Records: 6    |    Total Days: 11</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</si>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</sst>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14009]dd\-mm\-yyyy;@"/>
  </numFmts>
  <fonts count="42" x14ac:knownFonts="1">
    <font>
      <sz val="11"/>
      <color theme="1"/>
      <name val="Calibri"/>
      <family val="2"/>
      <scheme val="minor"/>
    </font>
    <font>
      <b/>
      <sz val="16"/>
      <color rgb="FFFFFFFF"/>
      <name val="Calibri"/>
      <family val="2"/>
    </font>
    <font>
      <b/>
      <sz val="11.5"/>
      <color rgb="FF1F3864"/>
      <name val="Calibri"/>
      <family val="2"/>
    </font>
    <font>
      <b/>
      <sz val="11"/>
      <color rgb="FF1F3864"/>
      <name val="Calibri"/>
      <family val="2"/>
    </font>
    <font>
      <sz val="10"/>
      <color rgb="FF1A2233"/>
      <name val="Calibri"/>
      <family val="2"/>
    </font>
    <font>
      <b/>
      <sz val="11.5"/>
      <color rgb="FFFFFFFF"/>
      <name val="Calibri"/>
      <family val="2"/>
    </font>
    <font>
      <b/>
      <sz val="11"/>
      <color rgb="FFFFFFFF"/>
      <name val="Calibri"/>
      <family val="2"/>
    </font>
    <font>
      <b/>
      <sz val="11"/>
      <color rgb="FF1F3864"/>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5"/>
      <color theme="1"/>
      <name val="Calibri"/>
      <family val="2"/>
      <scheme val="minor"/>
    </font>
    <font>
      <sz val="12"/>
      <color theme="1"/>
      <name val="Calibri"/>
      <family val="2"/>
      <scheme val="minor"/>
    </font>
    <font>
      <b/>
      <sz val="16"/>
      <name val="Century"/>
      <family val="1"/>
    </font>
    <font>
      <b/>
      <sz val="15"/>
      <name val="Century"/>
      <family val="1"/>
    </font>
    <font>
      <b/>
      <sz val="12"/>
      <name val="Century"/>
      <family val="1"/>
    </font>
    <font>
      <sz val="15"/>
      <color theme="1"/>
      <name val="Century"/>
      <family val="1"/>
    </font>
    <font>
      <sz val="13"/>
      <color theme="1"/>
      <name val="Century"/>
      <family val="1"/>
    </font>
    <font>
      <sz val="12"/>
      <color theme="1"/>
      <name val="Century"/>
      <family val="1"/>
    </font>
    <font>
      <sz val="13"/>
      <color theme="1"/>
      <name val="Book Antiqua"/>
      <family val="1"/>
    </font>
    <font>
      <b/>
      <sz val="15"/>
      <color theme="1"/>
      <name val="Century"/>
      <family val="1"/>
    </font>
    <font>
      <b/>
      <sz val="13"/>
      <name val="Century"/>
      <family val="1"/>
    </font>
    <font>
      <b/>
      <u/>
      <sz val="15"/>
      <name val="Century"/>
      <family val="1"/>
    </font>
    <font>
      <sz val="15"/>
      <name val="Century"/>
      <family val="1"/>
    </font>
    <font>
      <sz val="13"/>
      <name val="Century"/>
      <family val="1"/>
    </font>
    <font>
      <sz val="13"/>
      <name val="Book Antiqua"/>
      <family val="1"/>
    </font>
    <font>
      <sz val="12"/>
      <name val="Century"/>
      <family val="1"/>
    </font>
    <font>
      <sz val="11"/>
      <name val="Century"/>
      <family val="1"/>
    </font>
  </fonts>
  <fills count="40">
    <fill>
      <patternFill patternType="none"/>
    </fill>
    <fill>
      <patternFill patternType="gray125"/>
    </fill>
    <fill>
      <patternFill patternType="solid">
        <fgColor rgb="FF1F3864"/>
      </patternFill>
    </fill>
    <fill>
      <patternFill patternType="solid">
        <fgColor rgb="FFEEF3FB"/>
      </patternFill>
    </fill>
    <fill>
      <patternFill patternType="solid">
        <fgColor rgb="FF4F46E5"/>
      </patternFill>
    </fill>
    <fill>
      <patternFill patternType="solid">
        <fgColor rgb="FFF2F2F2"/>
      </patternFill>
    </fill>
    <fill>
      <patternFill patternType="solid">
        <fgColor rgb="FFE7EEF9"/>
      </patternFill>
    </fill>
    <fill>
      <patternFill patternType="solid">
        <fgColor rgb="FF0D9488"/>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tint="-4.9989318521683403E-2"/>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1F3864"/>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9" fillId="0" borderId="0" applyNumberFormat="0" applyFill="0" applyBorder="0" applyAlignment="0" applyProtection="0"/>
    <xf numFmtId="0" fontId="10" fillId="0" borderId="4" applyNumberFormat="0" applyFill="0" applyAlignment="0" applyProtection="0"/>
    <xf numFmtId="0" fontId="11" fillId="0" borderId="5" applyNumberFormat="0" applyFill="0" applyAlignment="0" applyProtection="0"/>
    <xf numFmtId="0" fontId="12" fillId="0" borderId="6"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7" applyNumberFormat="0" applyAlignment="0" applyProtection="0"/>
    <xf numFmtId="0" fontId="17" fillId="5" borderId="8" applyNumberFormat="0" applyAlignment="0" applyProtection="0"/>
    <xf numFmtId="0" fontId="18" fillId="5" borderId="7" applyNumberFormat="0" applyAlignment="0" applyProtection="0"/>
    <xf numFmtId="0" fontId="19" fillId="0" borderId="9" applyNumberFormat="0" applyFill="0" applyAlignment="0" applyProtection="0"/>
    <xf numFmtId="0" fontId="20" fillId="12" borderId="10" applyNumberFormat="0" applyAlignment="0" applyProtection="0"/>
    <xf numFmtId="0" fontId="21" fillId="0" borderId="0" applyNumberFormat="0" applyFill="0" applyBorder="0" applyAlignment="0" applyProtection="0"/>
    <xf numFmtId="0" fontId="8" fillId="13" borderId="11" applyNumberFormat="0" applyFont="0" applyAlignment="0" applyProtection="0"/>
    <xf numFmtId="0" fontId="22" fillId="0" borderId="0" applyNumberFormat="0" applyFill="0" applyBorder="0" applyAlignment="0" applyProtection="0"/>
    <xf numFmtId="0" fontId="23" fillId="0" borderId="12"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61">
    <xf numFmtId="0" fontId="0" fillId="0" borderId="0" xfId="0"/>
    <xf numFmtId="0" fontId="6" fillId="2" borderId="1" xfId="0" applyFont="1" applyFill="1" applyBorder="1" applyAlignment="1">
      <alignment horizontal="center" vertical="center" wrapText="1"/>
    </xf>
    <xf numFmtId="0" fontId="0" fillId="0" borderId="0" xfId="0" applyAlignment="1">
      <alignment vertical="center"/>
    </xf>
    <xf numFmtId="0" fontId="0" fillId="0" borderId="2" xfId="0" applyBorder="1" applyAlignment="1">
      <alignment vertical="center"/>
    </xf>
    <xf numFmtId="1" fontId="0" fillId="0" borderId="2" xfId="0" applyNumberFormat="1" applyBorder="1" applyAlignment="1">
      <alignment vertical="center"/>
    </xf>
    <xf numFmtId="164" fontId="0" fillId="0" borderId="2" xfId="0" applyNumberFormat="1" applyBorder="1" applyAlignment="1">
      <alignment vertical="center"/>
    </xf>
    <xf numFmtId="0" fontId="0" fillId="5" borderId="2" xfId="0" applyFill="1" applyBorder="1" applyAlignment="1">
      <alignment vertical="center"/>
    </xf>
    <xf numFmtId="1" fontId="0" fillId="5" borderId="2" xfId="0" applyNumberFormat="1" applyFill="1" applyBorder="1" applyAlignment="1">
      <alignment vertical="center"/>
    </xf>
    <xf numFmtId="164" fontId="0" fillId="5" borderId="2" xfId="0" applyNumberFormat="1" applyFill="1" applyBorder="1" applyAlignment="1">
      <alignment vertical="center"/>
    </xf>
    <xf numFmtId="0" fontId="7" fillId="6" borderId="3" xfId="0" applyFont="1" applyFill="1" applyBorder="1" applyAlignment="1">
      <alignment horizontal="center"/>
    </xf>
    <xf numFmtId="0" fontId="0" fillId="6" borderId="3" xfId="0" applyFill="1" applyBorder="1"/>
    <xf numFmtId="0" fontId="0" fillId="0" borderId="2" xfId="0" applyBorder="1" applyAlignment="1">
      <alignment horizontal="center" vertical="center"/>
    </xf>
    <xf numFmtId="0" fontId="0" fillId="5" borderId="2" xfId="0" applyFill="1" applyBorder="1" applyAlignment="1">
      <alignment horizontal="center" vertical="center"/>
    </xf>
    <xf numFmtId="164" fontId="0" fillId="0" borderId="0" xfId="0" applyNumberFormat="1"/>
    <xf numFmtId="1" fontId="0" fillId="0" borderId="2" xfId="0" applyNumberFormat="1" applyBorder="1" applyAlignment="1">
      <alignment horizontal="center" vertical="center"/>
    </xf>
    <xf numFmtId="1" fontId="0" fillId="5" borderId="2" xfId="0" applyNumberFormat="1" applyFill="1" applyBorder="1" applyAlignment="1">
      <alignment horizontal="center" vertical="center"/>
    </xf>
    <xf numFmtId="0" fontId="26" fillId="0" borderId="0" xfId="0" applyFont="1" applyAlignment="1">
      <alignment vertical="center"/>
    </xf>
    <xf numFmtId="0" fontId="26" fillId="0" borderId="0" xfId="0" applyFont="1"/>
    <xf numFmtId="0" fontId="25" fillId="0" borderId="0" xfId="0" applyFont="1" applyAlignment="1">
      <alignment vertical="center"/>
    </xf>
    <xf numFmtId="0" fontId="25" fillId="0" borderId="0" xfId="0" applyFont="1"/>
    <xf numFmtId="1" fontId="31" fillId="38" borderId="1" xfId="0" applyNumberFormat="1" applyFont="1" applyFill="1" applyBorder="1" applyAlignment="1">
      <alignment vertical="center"/>
    </xf>
    <xf numFmtId="0" fontId="31" fillId="38" borderId="1" xfId="0" applyFont="1" applyFill="1" applyBorder="1" applyAlignment="1">
      <alignment vertical="center"/>
    </xf>
    <xf numFmtId="0" fontId="31" fillId="38" borderId="1" xfId="0" applyNumberFormat="1" applyFont="1" applyFill="1" applyBorder="1" applyAlignment="1">
      <alignment horizontal="center" vertical="center"/>
    </xf>
    <xf numFmtId="14" fontId="31" fillId="38" borderId="1" xfId="0" applyNumberFormat="1" applyFont="1" applyFill="1" applyBorder="1" applyAlignment="1">
      <alignment horizontal="center" vertical="center"/>
    </xf>
    <xf numFmtId="0" fontId="29" fillId="38" borderId="1" xfId="0" applyFont="1" applyFill="1" applyBorder="1" applyAlignment="1">
      <alignment horizontal="center" vertical="center" wrapText="1"/>
    </xf>
    <xf numFmtId="0" fontId="35" fillId="38" borderId="1" xfId="0" applyFont="1" applyFill="1" applyBorder="1" applyAlignment="1">
      <alignment horizontal="center" vertical="center" wrapText="1"/>
    </xf>
    <xf numFmtId="0" fontId="31" fillId="38" borderId="1" xfId="0" applyFont="1" applyFill="1" applyBorder="1" applyAlignment="1">
      <alignment horizontal="center" vertical="center"/>
    </xf>
    <xf numFmtId="0" fontId="34" fillId="38" borderId="1" xfId="0" applyFont="1" applyFill="1" applyBorder="1" applyAlignment="1">
      <alignment horizontal="center" vertical="center"/>
    </xf>
    <xf numFmtId="0" fontId="30" fillId="38" borderId="1" xfId="0" applyFont="1" applyFill="1" applyBorder="1" applyAlignment="1">
      <alignment vertical="center"/>
    </xf>
    <xf numFmtId="0" fontId="31" fillId="38" borderId="1" xfId="0" applyFont="1" applyFill="1" applyBorder="1" applyAlignment="1">
      <alignment vertical="center" wrapText="1"/>
    </xf>
    <xf numFmtId="0" fontId="32" fillId="38" borderId="1" xfId="0" applyFont="1" applyFill="1" applyBorder="1" applyAlignment="1">
      <alignment vertical="center" wrapText="1"/>
    </xf>
    <xf numFmtId="0" fontId="33" fillId="38" borderId="1" xfId="0" applyFont="1" applyFill="1" applyBorder="1" applyAlignment="1">
      <alignment horizontal="center" vertical="center"/>
    </xf>
    <xf numFmtId="1" fontId="38" fillId="38" borderId="1" xfId="0" applyNumberFormat="1" applyFont="1" applyFill="1" applyBorder="1" applyAlignment="1">
      <alignment horizontal="center" vertical="center"/>
    </xf>
    <xf numFmtId="0" fontId="38" fillId="38" borderId="1" xfId="0" applyNumberFormat="1" applyFont="1" applyFill="1" applyBorder="1" applyAlignment="1">
      <alignment horizontal="center" vertical="center"/>
    </xf>
    <xf numFmtId="0" fontId="38" fillId="38" borderId="1" xfId="0" applyFont="1" applyFill="1" applyBorder="1" applyAlignment="1">
      <alignment vertical="center"/>
    </xf>
    <xf numFmtId="1" fontId="38" fillId="38" borderId="1" xfId="0" applyNumberFormat="1" applyFont="1" applyFill="1" applyBorder="1" applyAlignment="1">
      <alignment horizontal="left" vertical="center"/>
    </xf>
    <xf numFmtId="14" fontId="39" fillId="38" borderId="1" xfId="0" applyNumberFormat="1" applyFont="1" applyFill="1" applyBorder="1" applyAlignment="1">
      <alignment horizontal="center" vertical="center"/>
    </xf>
    <xf numFmtId="0" fontId="40" fillId="38" borderId="1" xfId="0" applyFont="1" applyFill="1" applyBorder="1" applyAlignment="1">
      <alignment vertical="center" wrapText="1"/>
    </xf>
    <xf numFmtId="165" fontId="39" fillId="38" borderId="1" xfId="0" applyNumberFormat="1" applyFont="1" applyFill="1" applyBorder="1" applyAlignment="1">
      <alignment horizontal="center" vertical="center"/>
    </xf>
    <xf numFmtId="0" fontId="40" fillId="38" borderId="1" xfId="0" applyFont="1" applyFill="1" applyBorder="1" applyAlignment="1">
      <alignment vertical="center"/>
    </xf>
    <xf numFmtId="14" fontId="39" fillId="38" borderId="1" xfId="0" quotePrefix="1" applyNumberFormat="1" applyFont="1" applyFill="1" applyBorder="1" applyAlignment="1">
      <alignment horizontal="center" vertical="center"/>
    </xf>
    <xf numFmtId="0" fontId="41" fillId="38" borderId="1" xfId="0" applyFont="1" applyFill="1" applyBorder="1" applyAlignment="1">
      <alignment vertical="center" wrapText="1"/>
    </xf>
    <xf numFmtId="1" fontId="28" fillId="38" borderId="1" xfId="0" applyNumberFormat="1" applyFont="1" applyFill="1" applyBorder="1" applyAlignment="1">
      <alignment horizontal="center" vertical="center"/>
    </xf>
    <xf numFmtId="0" fontId="37" fillId="38" borderId="1" xfId="0" applyFont="1" applyFill="1" applyBorder="1" applyAlignment="1">
      <alignment vertical="center"/>
    </xf>
    <xf numFmtId="0" fontId="4" fillId="0" borderId="0" xfId="0" applyFont="1" applyAlignment="1">
      <alignment horizontal="left" vertical="top" wrapText="1" indent="1"/>
    </xf>
    <xf numFmtId="0" fontId="5" fillId="4" borderId="0" xfId="0" applyFont="1" applyFill="1" applyAlignment="1">
      <alignment horizontal="center" vertical="center"/>
    </xf>
    <xf numFmtId="0" fontId="7" fillId="6" borderId="3" xfId="0" applyFont="1" applyFill="1" applyBorder="1" applyAlignment="1">
      <alignment horizontal="right"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3" borderId="0" xfId="0" applyFont="1" applyFill="1" applyAlignment="1">
      <alignment horizontal="center" vertical="center"/>
    </xf>
    <xf numFmtId="0" fontId="5" fillId="7" borderId="0" xfId="0" applyFont="1" applyFill="1" applyAlignment="1">
      <alignment horizontal="center" vertical="center"/>
    </xf>
    <xf numFmtId="0" fontId="4" fillId="0" borderId="0" xfId="0" applyFont="1" applyAlignment="1">
      <alignment horizontal="left" vertical="top" indent="1"/>
    </xf>
    <xf numFmtId="0" fontId="37" fillId="0" borderId="0" xfId="0" applyFont="1" applyAlignment="1">
      <alignment horizontal="left" vertical="center" wrapText="1"/>
    </xf>
    <xf numFmtId="0" fontId="28" fillId="39" borderId="1" xfId="0" applyFont="1" applyFill="1" applyBorder="1" applyAlignment="1">
      <alignment horizontal="center" vertical="center"/>
    </xf>
    <xf numFmtId="0" fontId="28" fillId="38" borderId="1" xfId="0" applyFont="1" applyFill="1" applyBorder="1" applyAlignment="1">
      <alignment horizontal="right" vertical="center"/>
    </xf>
    <xf numFmtId="0" fontId="27" fillId="38" borderId="0" xfId="0" applyFont="1" applyFill="1" applyAlignment="1">
      <alignment horizontal="center" vertical="center"/>
    </xf>
    <xf numFmtId="0" fontId="28" fillId="3" borderId="0" xfId="0" applyFont="1" applyFill="1" applyAlignment="1">
      <alignment horizontal="center" vertical="center"/>
    </xf>
    <xf numFmtId="0" fontId="36" fillId="3" borderId="0" xfId="0" applyFont="1" applyFill="1" applyAlignment="1">
      <alignment horizontal="center" vertical="center"/>
    </xf>
    <xf numFmtId="0" fontId="28" fillId="38" borderId="1" xfId="0" applyFont="1" applyFill="1" applyBorder="1" applyAlignment="1">
      <alignment horizontal="center" vertical="center"/>
    </xf>
    <xf numFmtId="0" fontId="28" fillId="38" borderId="0" xfId="0" applyFont="1" applyFill="1" applyAlignment="1">
      <alignment horizontal="center" vertical="center"/>
    </xf>
    <xf numFmtId="0" fontId="36" fillId="38"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KARUR%20SUB%20DN\GS%20MAY%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mployees"/>
    </sheetNames>
    <sheetDataSet>
      <sheetData sheetId="0">
        <row r="2">
          <cell r="C2">
            <v>10388388</v>
          </cell>
          <cell r="D2" t="str">
            <v xml:space="preserve">Manivel M  </v>
          </cell>
          <cell r="E2" t="str">
            <v>Male</v>
          </cell>
          <cell r="F2" t="str">
            <v>1-1</v>
          </cell>
          <cell r="G2">
            <v>30225082</v>
          </cell>
          <cell r="H2" t="str">
            <v>ABPM</v>
          </cell>
          <cell r="I2">
            <v>119</v>
          </cell>
          <cell r="J2" t="str">
            <v>Gramin Dak Sevaks</v>
          </cell>
          <cell r="K2">
            <v>29106751</v>
          </cell>
          <cell r="L2" t="str">
            <v>Athipalayam B.O</v>
          </cell>
          <cell r="M2" t="str">
            <v>ABPM, Athipalayam B.O</v>
          </cell>
          <cell r="N2" t="str">
            <v>EIAPM1670N</v>
          </cell>
          <cell r="O2">
            <v>35942.000115740739</v>
          </cell>
          <cell r="P2">
            <v>45955.000115740739</v>
          </cell>
          <cell r="Q2" t="str">
            <v>010033195171</v>
          </cell>
        </row>
        <row r="3">
          <cell r="C3">
            <v>10394415</v>
          </cell>
          <cell r="D3" t="str">
            <v xml:space="preserve">AJAYKUMAR C  </v>
          </cell>
          <cell r="E3" t="str">
            <v>Male</v>
          </cell>
          <cell r="F3" t="str">
            <v>1-1</v>
          </cell>
          <cell r="G3">
            <v>30146104</v>
          </cell>
          <cell r="H3" t="str">
            <v>BPM</v>
          </cell>
          <cell r="I3">
            <v>119</v>
          </cell>
          <cell r="J3" t="str">
            <v>Gramin Dak Sevaks</v>
          </cell>
          <cell r="K3">
            <v>29106734</v>
          </cell>
          <cell r="L3" t="str">
            <v>A.Meenakshivalasu B.O</v>
          </cell>
          <cell r="M3" t="str">
            <v>BPM, A.Meenakshivalasu B.O</v>
          </cell>
          <cell r="N3" t="str">
            <v>EXEPA5025A</v>
          </cell>
          <cell r="O3">
            <v>38317.000115740739</v>
          </cell>
          <cell r="P3">
            <v>46113.000115740739</v>
          </cell>
          <cell r="Q3" t="str">
            <v>010066960488</v>
          </cell>
        </row>
        <row r="4">
          <cell r="C4">
            <v>10394439</v>
          </cell>
          <cell r="D4" t="str">
            <v xml:space="preserve">Geethapriya P  </v>
          </cell>
          <cell r="E4" t="str">
            <v>Female</v>
          </cell>
          <cell r="F4" t="str">
            <v>1-1</v>
          </cell>
          <cell r="G4">
            <v>30145988</v>
          </cell>
          <cell r="H4" t="str">
            <v>BPM</v>
          </cell>
          <cell r="I4">
            <v>119</v>
          </cell>
          <cell r="J4" t="str">
            <v>Gramin Dak Sevaks</v>
          </cell>
          <cell r="K4">
            <v>29106917</v>
          </cell>
          <cell r="L4" t="str">
            <v>Periyamathiagudalur B.O</v>
          </cell>
          <cell r="M4" t="str">
            <v>BPM, Periyamathiagudalur B.O</v>
          </cell>
          <cell r="N4" t="str">
            <v>DIZPG5526H</v>
          </cell>
          <cell r="O4">
            <v>36179.000115740739</v>
          </cell>
          <cell r="P4">
            <v>46113.000115740739</v>
          </cell>
          <cell r="Q4" t="str">
            <v>010067034749</v>
          </cell>
        </row>
        <row r="5">
          <cell r="C5">
            <v>10394443</v>
          </cell>
          <cell r="D5" t="str">
            <v xml:space="preserve">SANDHIYA PRASATH  </v>
          </cell>
          <cell r="E5" t="str">
            <v>Female</v>
          </cell>
          <cell r="F5" t="str">
            <v>1-1</v>
          </cell>
          <cell r="G5">
            <v>30145932</v>
          </cell>
          <cell r="H5" t="str">
            <v>BPM</v>
          </cell>
          <cell r="I5">
            <v>119</v>
          </cell>
          <cell r="J5" t="str">
            <v>Gramin Dak Sevaks</v>
          </cell>
          <cell r="K5">
            <v>29106984</v>
          </cell>
          <cell r="L5" t="str">
            <v>Thoranakkalpatti B.O</v>
          </cell>
          <cell r="M5" t="str">
            <v>BPM, Thoranakkalpatti B.O</v>
          </cell>
          <cell r="N5" t="str">
            <v>GSQPP1668R</v>
          </cell>
          <cell r="O5">
            <v>36702.000115740739</v>
          </cell>
          <cell r="P5">
            <v>46113.000115740739</v>
          </cell>
          <cell r="Q5" t="str">
            <v>010033029944</v>
          </cell>
        </row>
        <row r="6">
          <cell r="C6">
            <v>10394447</v>
          </cell>
          <cell r="D6" t="str">
            <v xml:space="preserve">VISHNU PRIYA S  </v>
          </cell>
          <cell r="E6" t="str">
            <v>Female</v>
          </cell>
          <cell r="F6" t="str">
            <v>1-1</v>
          </cell>
          <cell r="G6">
            <v>30145992</v>
          </cell>
          <cell r="H6" t="str">
            <v>BPM</v>
          </cell>
          <cell r="I6">
            <v>119</v>
          </cell>
          <cell r="J6" t="str">
            <v>Gramin Dak Sevaks</v>
          </cell>
          <cell r="K6">
            <v>29106914</v>
          </cell>
          <cell r="L6" t="str">
            <v>Pavithram B.O</v>
          </cell>
          <cell r="M6" t="str">
            <v>BPM, Pavithram B.O</v>
          </cell>
          <cell r="N6" t="str">
            <v>BOBPV6520E</v>
          </cell>
          <cell r="O6">
            <v>36706.000115740739</v>
          </cell>
          <cell r="P6">
            <v>46113.000115740739</v>
          </cell>
          <cell r="Q6" t="str">
            <v>010066962286</v>
          </cell>
        </row>
        <row r="7">
          <cell r="C7">
            <v>10394450</v>
          </cell>
          <cell r="D7" t="str">
            <v xml:space="preserve">Madhupriya  </v>
          </cell>
          <cell r="E7" t="str">
            <v>Female</v>
          </cell>
          <cell r="F7" t="str">
            <v>1-1</v>
          </cell>
          <cell r="G7">
            <v>30146051</v>
          </cell>
          <cell r="H7" t="str">
            <v>BPM</v>
          </cell>
          <cell r="I7">
            <v>119</v>
          </cell>
          <cell r="J7" t="str">
            <v>Gramin Dak Sevaks</v>
          </cell>
          <cell r="K7">
            <v>29106923</v>
          </cell>
          <cell r="L7" t="str">
            <v>Ponnagoundanur B.O</v>
          </cell>
          <cell r="M7" t="str">
            <v>BPM, Ponnagoundanur B.O</v>
          </cell>
          <cell r="N7" t="str">
            <v>DQAPM0986A</v>
          </cell>
          <cell r="O7">
            <v>35895.000115740739</v>
          </cell>
          <cell r="P7">
            <v>46113.000115740739</v>
          </cell>
          <cell r="Q7" t="str">
            <v>010066877361</v>
          </cell>
        </row>
        <row r="8">
          <cell r="C8">
            <v>10394462</v>
          </cell>
          <cell r="D8" t="str">
            <v xml:space="preserve">MADHUMATHI R  </v>
          </cell>
          <cell r="E8" t="str">
            <v>Female</v>
          </cell>
          <cell r="F8" t="str">
            <v>1-1</v>
          </cell>
          <cell r="G8">
            <v>30145867</v>
          </cell>
          <cell r="H8" t="str">
            <v>ABPM</v>
          </cell>
          <cell r="I8">
            <v>119</v>
          </cell>
          <cell r="J8" t="str">
            <v>Gramin Dak Sevaks</v>
          </cell>
          <cell r="K8">
            <v>29661945</v>
          </cell>
          <cell r="L8" t="str">
            <v>Sengunthapuram S.O</v>
          </cell>
          <cell r="M8" t="str">
            <v>ABPM, Sengunthapuram S.O</v>
          </cell>
          <cell r="N8" t="str">
            <v>HOUPR5594K</v>
          </cell>
          <cell r="O8">
            <v>38298.000115740739</v>
          </cell>
          <cell r="P8">
            <v>46113.000115740739</v>
          </cell>
          <cell r="Q8" t="str">
            <v>010067536875</v>
          </cell>
        </row>
        <row r="9">
          <cell r="C9">
            <v>10394466</v>
          </cell>
          <cell r="D9" t="str">
            <v xml:space="preserve">ANUSRI B  </v>
          </cell>
          <cell r="E9" t="str">
            <v>Female</v>
          </cell>
          <cell r="F9" t="str">
            <v>1-1</v>
          </cell>
          <cell r="G9">
            <v>30225080</v>
          </cell>
          <cell r="H9" t="str">
            <v>BPM</v>
          </cell>
          <cell r="I9">
            <v>119</v>
          </cell>
          <cell r="J9" t="str">
            <v>Gramin Dak Sevaks</v>
          </cell>
          <cell r="K9">
            <v>29106751</v>
          </cell>
          <cell r="L9" t="str">
            <v>Athipalayam B.O</v>
          </cell>
          <cell r="M9" t="str">
            <v>BPM, Athipalayam B.O</v>
          </cell>
          <cell r="N9" t="str">
            <v>GIUPB4011C</v>
          </cell>
          <cell r="O9">
            <v>36388.000115740739</v>
          </cell>
          <cell r="P9">
            <v>46113.000115740739</v>
          </cell>
          <cell r="Q9" t="str">
            <v>010066514024</v>
          </cell>
        </row>
        <row r="10">
          <cell r="C10">
            <v>10394467</v>
          </cell>
          <cell r="D10" t="str">
            <v xml:space="preserve">ELAKIYA S  </v>
          </cell>
          <cell r="E10" t="str">
            <v>Female</v>
          </cell>
          <cell r="F10" t="str">
            <v>1-1</v>
          </cell>
          <cell r="G10">
            <v>30145688</v>
          </cell>
          <cell r="H10" t="str">
            <v>BPM</v>
          </cell>
          <cell r="I10">
            <v>119</v>
          </cell>
          <cell r="J10" t="str">
            <v>Gramin Dak Sevaks</v>
          </cell>
          <cell r="K10">
            <v>29106998</v>
          </cell>
          <cell r="L10" t="str">
            <v>Vangal East B.O</v>
          </cell>
          <cell r="M10" t="str">
            <v>BPM, Vangal East B.O</v>
          </cell>
          <cell r="N10" t="str">
            <v>AHDPE2852N</v>
          </cell>
          <cell r="O10">
            <v>38086.000115740739</v>
          </cell>
          <cell r="P10">
            <v>46113.000115740739</v>
          </cell>
          <cell r="Q10" t="str">
            <v>010067209956</v>
          </cell>
        </row>
        <row r="11">
          <cell r="C11">
            <v>10394470</v>
          </cell>
          <cell r="D11" t="str">
            <v xml:space="preserve">LOKESH C  </v>
          </cell>
          <cell r="E11" t="str">
            <v>Male</v>
          </cell>
          <cell r="F11" t="str">
            <v>1-1</v>
          </cell>
          <cell r="G11">
            <v>30145780</v>
          </cell>
          <cell r="H11" t="str">
            <v>BPM</v>
          </cell>
          <cell r="I11">
            <v>119</v>
          </cell>
          <cell r="J11" t="str">
            <v>Gramin Dak Sevaks</v>
          </cell>
          <cell r="K11">
            <v>29106958</v>
          </cell>
          <cell r="L11" t="str">
            <v>Sellivalasu B.O</v>
          </cell>
          <cell r="M11" t="str">
            <v>BPM, Sellivalasu B.O</v>
          </cell>
          <cell r="N11" t="str">
            <v>CJVPC9455M</v>
          </cell>
          <cell r="O11">
            <v>37579.000115740739</v>
          </cell>
          <cell r="P11">
            <v>46113.000115740739</v>
          </cell>
          <cell r="Q11" t="str">
            <v>010067190065</v>
          </cell>
        </row>
        <row r="12">
          <cell r="C12">
            <v>10398282</v>
          </cell>
          <cell r="D12" t="str">
            <v xml:space="preserve">PRAVEEN T  </v>
          </cell>
          <cell r="E12" t="str">
            <v>Male</v>
          </cell>
          <cell r="F12" t="str">
            <v>1-1</v>
          </cell>
          <cell r="G12">
            <v>30145791</v>
          </cell>
          <cell r="H12" t="str">
            <v>ABPM</v>
          </cell>
          <cell r="I12">
            <v>119</v>
          </cell>
          <cell r="J12" t="str">
            <v>Gramin Dak Sevaks</v>
          </cell>
          <cell r="K12">
            <v>29661957</v>
          </cell>
          <cell r="L12" t="str">
            <v>Velliyanai S.O</v>
          </cell>
          <cell r="M12" t="str">
            <v>ABPM, Velliyanai S.O</v>
          </cell>
          <cell r="N12" t="str">
            <v>GBQPP2783C</v>
          </cell>
          <cell r="O12">
            <v>36863.000115740739</v>
          </cell>
          <cell r="P12">
            <v>46132.000115740739</v>
          </cell>
          <cell r="Q12" t="str">
            <v>010067215015</v>
          </cell>
        </row>
        <row r="13">
          <cell r="C13">
            <v>50089388</v>
          </cell>
          <cell r="D13" t="str">
            <v xml:space="preserve">K RAGUNATHAN  </v>
          </cell>
          <cell r="E13" t="str">
            <v>Male</v>
          </cell>
          <cell r="F13" t="str">
            <v>1-7</v>
          </cell>
          <cell r="G13">
            <v>30145796</v>
          </cell>
          <cell r="H13" t="str">
            <v>BPM</v>
          </cell>
          <cell r="I13">
            <v>119</v>
          </cell>
          <cell r="J13" t="str">
            <v>Gramin Dak Sevaks</v>
          </cell>
          <cell r="K13">
            <v>29106745</v>
          </cell>
          <cell r="L13" t="str">
            <v>Anangur B.O</v>
          </cell>
          <cell r="M13" t="str">
            <v>BPM, Anangur B.O</v>
          </cell>
          <cell r="N13" t="str">
            <v>ABCPD1234E</v>
          </cell>
          <cell r="O13">
            <v>23721.000115740742</v>
          </cell>
          <cell r="P13">
            <v>33695.000115740739</v>
          </cell>
          <cell r="Q13" t="str">
            <v>8270858345</v>
          </cell>
        </row>
        <row r="14">
          <cell r="C14">
            <v>50089394</v>
          </cell>
          <cell r="D14" t="str">
            <v xml:space="preserve">A MALLIKA  </v>
          </cell>
          <cell r="E14" t="str">
            <v>Female</v>
          </cell>
          <cell r="F14" t="str">
            <v>2-8</v>
          </cell>
          <cell r="G14">
            <v>30145794</v>
          </cell>
          <cell r="H14" t="str">
            <v>BPM</v>
          </cell>
          <cell r="I14">
            <v>119</v>
          </cell>
          <cell r="J14" t="str">
            <v>Gramin Dak Sevaks</v>
          </cell>
          <cell r="K14">
            <v>29106755</v>
          </cell>
          <cell r="L14" t="str">
            <v>Chellandipatti B.O</v>
          </cell>
          <cell r="M14" t="str">
            <v>BPM, Chellandipatti B.O</v>
          </cell>
          <cell r="N14" t="str">
            <v>AZKPM3529K</v>
          </cell>
          <cell r="O14">
            <v>25029.000115740742</v>
          </cell>
          <cell r="P14">
            <v>33595.000115740739</v>
          </cell>
          <cell r="Q14" t="str">
            <v>2035628228</v>
          </cell>
        </row>
        <row r="15">
          <cell r="C15">
            <v>50089396</v>
          </cell>
          <cell r="D15" t="str">
            <v xml:space="preserve">A MOTHILAL  NEHRU  </v>
          </cell>
          <cell r="E15" t="str">
            <v>Male</v>
          </cell>
          <cell r="F15" t="str">
            <v>2-8</v>
          </cell>
          <cell r="G15">
            <v>30145614</v>
          </cell>
          <cell r="H15" t="str">
            <v>ABPM</v>
          </cell>
          <cell r="I15">
            <v>119</v>
          </cell>
          <cell r="J15" t="str">
            <v>Gramin Dak Sevaks</v>
          </cell>
          <cell r="K15">
            <v>29661945</v>
          </cell>
          <cell r="L15" t="str">
            <v>Sengunthapuram S.O</v>
          </cell>
          <cell r="M15" t="str">
            <v>ABPM, Sengunthapuram S.O</v>
          </cell>
          <cell r="N15" t="str">
            <v>ABCPD1234E</v>
          </cell>
          <cell r="O15">
            <v>26332.000115740742</v>
          </cell>
          <cell r="P15">
            <v>39764.000115740739</v>
          </cell>
          <cell r="Q15" t="str">
            <v>3110444306</v>
          </cell>
        </row>
        <row r="16">
          <cell r="C16">
            <v>50089404</v>
          </cell>
          <cell r="D16" t="str">
            <v xml:space="preserve">A RAMACHANDRAN  </v>
          </cell>
          <cell r="E16" t="str">
            <v>Male</v>
          </cell>
          <cell r="F16" t="str">
            <v>2-7</v>
          </cell>
          <cell r="G16">
            <v>30145871</v>
          </cell>
          <cell r="H16" t="str">
            <v>BPM</v>
          </cell>
          <cell r="I16">
            <v>119</v>
          </cell>
          <cell r="J16" t="str">
            <v>Gramin Dak Sevaks</v>
          </cell>
          <cell r="K16">
            <v>29106781</v>
          </cell>
          <cell r="L16" t="str">
            <v>Jegadabi B.O</v>
          </cell>
          <cell r="M16" t="str">
            <v>BPM, Jegadabi B.O</v>
          </cell>
          <cell r="N16" t="str">
            <v>BNSPR4679C</v>
          </cell>
          <cell r="O16">
            <v>26391.000115740742</v>
          </cell>
          <cell r="P16">
            <v>35663.000115740739</v>
          </cell>
          <cell r="Q16" t="str">
            <v>2035632225</v>
          </cell>
        </row>
        <row r="17">
          <cell r="C17">
            <v>50089421</v>
          </cell>
          <cell r="D17" t="str">
            <v xml:space="preserve">B VIJAYPANDIAN  </v>
          </cell>
          <cell r="E17" t="str">
            <v>Male</v>
          </cell>
          <cell r="F17" t="str">
            <v>1-13</v>
          </cell>
          <cell r="G17">
            <v>30145980</v>
          </cell>
          <cell r="H17" t="str">
            <v>BPM</v>
          </cell>
          <cell r="I17">
            <v>119</v>
          </cell>
          <cell r="J17" t="str">
            <v>Gramin Dak Sevaks</v>
          </cell>
          <cell r="K17">
            <v>29106962</v>
          </cell>
          <cell r="L17" t="str">
            <v>Sendamangalam B.O</v>
          </cell>
          <cell r="M17" t="str">
            <v>BPM, Sendamangalam B.O</v>
          </cell>
          <cell r="N17" t="str">
            <v>AWIPV8985D</v>
          </cell>
          <cell r="O17">
            <v>32316.000115740742</v>
          </cell>
          <cell r="P17">
            <v>41031.000115740739</v>
          </cell>
          <cell r="Q17" t="str">
            <v>8423993051</v>
          </cell>
        </row>
        <row r="18">
          <cell r="C18">
            <v>50089430</v>
          </cell>
          <cell r="D18" t="str">
            <v xml:space="preserve">C MOHANA  </v>
          </cell>
          <cell r="E18" t="str">
            <v>Female</v>
          </cell>
          <cell r="F18" t="str">
            <v>2-8</v>
          </cell>
          <cell r="G18">
            <v>30146039</v>
          </cell>
          <cell r="H18" t="str">
            <v>ABPM</v>
          </cell>
          <cell r="I18">
            <v>119</v>
          </cell>
          <cell r="J18" t="str">
            <v>Gramin Dak Sevaks</v>
          </cell>
          <cell r="K18">
            <v>29106861</v>
          </cell>
          <cell r="L18" t="str">
            <v>Minnampalli B.O</v>
          </cell>
          <cell r="M18" t="str">
            <v>ABPM, Minnampalli B.O</v>
          </cell>
          <cell r="N18" t="str">
            <v>DMDPM3241K</v>
          </cell>
          <cell r="O18">
            <v>32676.000115740742</v>
          </cell>
          <cell r="P18">
            <v>41622.000115740739</v>
          </cell>
          <cell r="Q18" t="str">
            <v>2360016813</v>
          </cell>
        </row>
        <row r="19">
          <cell r="C19">
            <v>50089432</v>
          </cell>
          <cell r="D19" t="str">
            <v xml:space="preserve">C PANDIYAN  </v>
          </cell>
          <cell r="E19" t="str">
            <v>Male</v>
          </cell>
          <cell r="F19" t="str">
            <v>2-13</v>
          </cell>
          <cell r="G19">
            <v>30145892</v>
          </cell>
          <cell r="H19" t="str">
            <v>ABPM</v>
          </cell>
          <cell r="I19">
            <v>119</v>
          </cell>
          <cell r="J19" t="str">
            <v>Gramin Dak Sevaks</v>
          </cell>
          <cell r="K19">
            <v>29661955</v>
          </cell>
          <cell r="L19" t="str">
            <v>Vangal S.O</v>
          </cell>
          <cell r="M19" t="str">
            <v>ABPM, Vangal S.O</v>
          </cell>
          <cell r="N19" t="str">
            <v>BQUPP8149L</v>
          </cell>
          <cell r="O19">
            <v>26850.000115740742</v>
          </cell>
          <cell r="P19">
            <v>36066.000115740739</v>
          </cell>
          <cell r="Q19" t="str">
            <v>11335683020</v>
          </cell>
        </row>
        <row r="20">
          <cell r="C20">
            <v>50089460</v>
          </cell>
          <cell r="D20" t="str">
            <v xml:space="preserve">G CHIDAMBARAM  </v>
          </cell>
          <cell r="E20" t="str">
            <v>Male</v>
          </cell>
          <cell r="F20" t="str">
            <v>2-13</v>
          </cell>
          <cell r="G20">
            <v>30145824</v>
          </cell>
          <cell r="H20" t="str">
            <v>ABPM</v>
          </cell>
          <cell r="I20">
            <v>119</v>
          </cell>
          <cell r="J20" t="str">
            <v>Gramin Dak Sevaks</v>
          </cell>
          <cell r="K20">
            <v>29107013</v>
          </cell>
          <cell r="L20" t="str">
            <v>Vennamalai B.O</v>
          </cell>
          <cell r="M20" t="str">
            <v>ABPM, Vennamalai B.O</v>
          </cell>
          <cell r="N20" t="str">
            <v>CJLPC4700P</v>
          </cell>
          <cell r="O20">
            <v>23800.000115740742</v>
          </cell>
          <cell r="P20">
            <v>34578.000115740739</v>
          </cell>
          <cell r="Q20" t="str">
            <v>2233971362</v>
          </cell>
        </row>
        <row r="21">
          <cell r="C21">
            <v>50089476</v>
          </cell>
          <cell r="D21" t="str">
            <v xml:space="preserve">I AROCKIASAMY  </v>
          </cell>
          <cell r="E21" t="str">
            <v>Male</v>
          </cell>
          <cell r="F21" t="str">
            <v>2-8</v>
          </cell>
          <cell r="G21">
            <v>30146017</v>
          </cell>
          <cell r="H21" t="str">
            <v>ABPM</v>
          </cell>
          <cell r="I21">
            <v>119</v>
          </cell>
          <cell r="J21" t="str">
            <v>Gramin Dak Sevaks</v>
          </cell>
          <cell r="K21">
            <v>29661933</v>
          </cell>
          <cell r="L21" t="str">
            <v>Moolapatti S.O</v>
          </cell>
          <cell r="M21" t="str">
            <v>ABPM, Moolapatti S.O</v>
          </cell>
          <cell r="N21" t="str">
            <v>APXPA2068H</v>
          </cell>
          <cell r="O21">
            <v>26613.000115740742</v>
          </cell>
          <cell r="P21">
            <v>41473.000115740739</v>
          </cell>
          <cell r="Q21" t="str">
            <v>1773553403</v>
          </cell>
        </row>
        <row r="22">
          <cell r="C22">
            <v>50089480</v>
          </cell>
          <cell r="D22" t="str">
            <v xml:space="preserve">J SIVAKUMAR  </v>
          </cell>
          <cell r="E22" t="str">
            <v>Male</v>
          </cell>
          <cell r="F22" t="str">
            <v>2-13</v>
          </cell>
          <cell r="G22">
            <v>30145829</v>
          </cell>
          <cell r="H22" t="str">
            <v>ABPM</v>
          </cell>
          <cell r="I22">
            <v>119</v>
          </cell>
          <cell r="J22" t="str">
            <v>Gramin Dak Sevaks</v>
          </cell>
          <cell r="K22">
            <v>29661947</v>
          </cell>
          <cell r="L22" t="str">
            <v>Thanthonimalai S.O</v>
          </cell>
          <cell r="M22" t="str">
            <v>ABPM, Thanthonimalai S.O</v>
          </cell>
          <cell r="N22" t="str">
            <v>ESPPS8671L</v>
          </cell>
          <cell r="O22">
            <v>23864.000115740742</v>
          </cell>
          <cell r="P22">
            <v>34741.000115740739</v>
          </cell>
          <cell r="Q22" t="str">
            <v>2140202368</v>
          </cell>
        </row>
        <row r="23">
          <cell r="C23">
            <v>50089483</v>
          </cell>
          <cell r="D23" t="str">
            <v xml:space="preserve">K BANUMATHI  </v>
          </cell>
          <cell r="E23" t="str">
            <v>Female</v>
          </cell>
          <cell r="F23" t="str">
            <v>1-14</v>
          </cell>
          <cell r="G23">
            <v>30145894</v>
          </cell>
          <cell r="H23" t="str">
            <v>ABPM</v>
          </cell>
          <cell r="I23">
            <v>119</v>
          </cell>
          <cell r="J23" t="str">
            <v>Gramin Dak Sevaks</v>
          </cell>
          <cell r="K23">
            <v>29106766</v>
          </cell>
          <cell r="L23" t="str">
            <v>East Thavittupalayam B.O</v>
          </cell>
          <cell r="M23" t="str">
            <v>ABPM, East Thavittupalayam B.O</v>
          </cell>
          <cell r="N23" t="str">
            <v>BKHPB5148L</v>
          </cell>
          <cell r="O23">
            <v>26817.000115740742</v>
          </cell>
          <cell r="P23">
            <v>36075.000115740739</v>
          </cell>
          <cell r="Q23" t="str">
            <v>2050155877</v>
          </cell>
        </row>
        <row r="24">
          <cell r="C24">
            <v>50089485</v>
          </cell>
          <cell r="D24" t="str">
            <v xml:space="preserve">K DHAMAYANTHI  </v>
          </cell>
          <cell r="E24" t="str">
            <v>Female</v>
          </cell>
          <cell r="F24" t="str">
            <v>2-8</v>
          </cell>
          <cell r="G24">
            <v>30145820</v>
          </cell>
          <cell r="H24" t="str">
            <v>BPM</v>
          </cell>
          <cell r="I24">
            <v>119</v>
          </cell>
          <cell r="J24" t="str">
            <v>Gramin Dak Sevaks</v>
          </cell>
          <cell r="K24">
            <v>29106898</v>
          </cell>
          <cell r="L24" t="str">
            <v>Paganatham B.O</v>
          </cell>
          <cell r="M24" t="str">
            <v>BPM, Paganatham B.O</v>
          </cell>
          <cell r="N24" t="str">
            <v>GBCPD1741N</v>
          </cell>
          <cell r="O24">
            <v>27130.000115740742</v>
          </cell>
          <cell r="P24">
            <v>34271.000115740739</v>
          </cell>
          <cell r="Q24" t="str">
            <v>2140205734</v>
          </cell>
        </row>
        <row r="25">
          <cell r="C25">
            <v>50089505</v>
          </cell>
          <cell r="D25" t="str">
            <v xml:space="preserve">K MALATHI  </v>
          </cell>
          <cell r="E25" t="str">
            <v>Female</v>
          </cell>
          <cell r="F25" t="str">
            <v>2-3</v>
          </cell>
          <cell r="G25">
            <v>30145682</v>
          </cell>
          <cell r="H25" t="str">
            <v>BPM</v>
          </cell>
          <cell r="I25">
            <v>119</v>
          </cell>
          <cell r="J25" t="str">
            <v>Gramin Dak Sevaks</v>
          </cell>
          <cell r="K25">
            <v>29106986</v>
          </cell>
          <cell r="L25" t="str">
            <v>Thumbivadi B.O</v>
          </cell>
          <cell r="M25" t="str">
            <v>BPM, Thumbivadi B.O</v>
          </cell>
          <cell r="N25" t="str">
            <v>CCAPM9455K</v>
          </cell>
          <cell r="O25">
            <v>22421.000115740742</v>
          </cell>
          <cell r="P25">
            <v>29948.000115740742</v>
          </cell>
          <cell r="Q25" t="str">
            <v>8308406511</v>
          </cell>
        </row>
        <row r="26">
          <cell r="C26">
            <v>50089523</v>
          </cell>
          <cell r="D26" t="str">
            <v xml:space="preserve">K RAJU  </v>
          </cell>
          <cell r="E26" t="str">
            <v>Male</v>
          </cell>
          <cell r="F26" t="str">
            <v>2-8</v>
          </cell>
          <cell r="G26">
            <v>30145811</v>
          </cell>
          <cell r="H26" t="str">
            <v>Dak Sevak</v>
          </cell>
          <cell r="I26">
            <v>119</v>
          </cell>
          <cell r="J26" t="str">
            <v>Gramin Dak Sevaks</v>
          </cell>
          <cell r="K26">
            <v>29661917</v>
          </cell>
          <cell r="L26" t="str">
            <v>Chinnadharapuram S.O</v>
          </cell>
          <cell r="M26" t="str">
            <v>Dak Sevak, Chinnadharapuram S.O</v>
          </cell>
          <cell r="N26" t="str">
            <v>BLZPR8273D</v>
          </cell>
          <cell r="O26">
            <v>24725.000115740742</v>
          </cell>
          <cell r="P26">
            <v>34018.000115740739</v>
          </cell>
          <cell r="Q26" t="str">
            <v>8271016481</v>
          </cell>
        </row>
        <row r="27">
          <cell r="C27">
            <v>50089529</v>
          </cell>
          <cell r="D27" t="str">
            <v xml:space="preserve">K SENTHILKUMAR  </v>
          </cell>
          <cell r="E27" t="str">
            <v>Male</v>
          </cell>
          <cell r="F27" t="str">
            <v>2-8</v>
          </cell>
          <cell r="G27">
            <v>30145668</v>
          </cell>
          <cell r="H27" t="str">
            <v>ABPM</v>
          </cell>
          <cell r="I27">
            <v>119</v>
          </cell>
          <cell r="J27" t="str">
            <v>Gramin Dak Sevaks</v>
          </cell>
          <cell r="K27">
            <v>29661958</v>
          </cell>
          <cell r="L27" t="str">
            <v>Vengamedu S.O</v>
          </cell>
          <cell r="M27" t="str">
            <v>ABPM, Vengamedu S.O</v>
          </cell>
          <cell r="N27" t="str">
            <v>ABCPD1234E</v>
          </cell>
          <cell r="O27">
            <v>26650.000115740742</v>
          </cell>
          <cell r="P27">
            <v>36971.000115740739</v>
          </cell>
          <cell r="Q27" t="str">
            <v>7007211378</v>
          </cell>
        </row>
        <row r="28">
          <cell r="C28">
            <v>50089530</v>
          </cell>
          <cell r="D28" t="str">
            <v xml:space="preserve">K SIVAGAMI  </v>
          </cell>
          <cell r="E28" t="str">
            <v>Female</v>
          </cell>
          <cell r="F28" t="str">
            <v>1-19</v>
          </cell>
          <cell r="G28">
            <v>30145840</v>
          </cell>
          <cell r="H28" t="str">
            <v>ABPM</v>
          </cell>
          <cell r="I28">
            <v>119</v>
          </cell>
          <cell r="J28" t="str">
            <v>Gramin Dak Sevaks</v>
          </cell>
          <cell r="K28">
            <v>29106772</v>
          </cell>
          <cell r="L28" t="str">
            <v>Erachapadi B.O</v>
          </cell>
          <cell r="M28" t="str">
            <v>ABPM, Erachapadi B.O</v>
          </cell>
          <cell r="N28" t="str">
            <v>MLBPS5652N</v>
          </cell>
          <cell r="O28">
            <v>26313.000115740742</v>
          </cell>
          <cell r="P28">
            <v>34892.000115740739</v>
          </cell>
          <cell r="Q28" t="str">
            <v>8270863750</v>
          </cell>
        </row>
        <row r="29">
          <cell r="C29">
            <v>50089533</v>
          </cell>
          <cell r="D29" t="str">
            <v xml:space="preserve">K SUBRAMANIAN  </v>
          </cell>
          <cell r="E29" t="str">
            <v>Male</v>
          </cell>
          <cell r="F29" t="str">
            <v>2-8</v>
          </cell>
          <cell r="G29">
            <v>30145860</v>
          </cell>
          <cell r="H29" t="str">
            <v>BPM</v>
          </cell>
          <cell r="I29">
            <v>119</v>
          </cell>
          <cell r="J29" t="str">
            <v>Gramin Dak Sevaks</v>
          </cell>
          <cell r="K29">
            <v>29106908</v>
          </cell>
          <cell r="L29" t="str">
            <v>Panjamadevi B.O</v>
          </cell>
          <cell r="M29" t="str">
            <v>BPM, Panjamadevi B.O</v>
          </cell>
          <cell r="N29" t="str">
            <v>JVIPS9935Q</v>
          </cell>
          <cell r="O29">
            <v>24295.000115740742</v>
          </cell>
          <cell r="P29">
            <v>35264.000115740739</v>
          </cell>
          <cell r="Q29" t="str">
            <v>7021797711</v>
          </cell>
        </row>
        <row r="30">
          <cell r="C30">
            <v>50089538</v>
          </cell>
          <cell r="D30" t="str">
            <v xml:space="preserve">K VALARMATHI  </v>
          </cell>
          <cell r="E30" t="str">
            <v>Female</v>
          </cell>
          <cell r="F30" t="str">
            <v>2-4</v>
          </cell>
          <cell r="G30">
            <v>30146021</v>
          </cell>
          <cell r="H30" t="str">
            <v>BPM</v>
          </cell>
          <cell r="I30">
            <v>119</v>
          </cell>
          <cell r="J30" t="str">
            <v>Gramin Dak Sevaks</v>
          </cell>
          <cell r="K30">
            <v>29106870</v>
          </cell>
          <cell r="L30" t="str">
            <v>Mushtakinathupatti B.O</v>
          </cell>
          <cell r="M30" t="str">
            <v>BPM, Mushtakinathupatti B.O</v>
          </cell>
          <cell r="N30" t="str">
            <v>BBVPV6730R</v>
          </cell>
          <cell r="O30">
            <v>30967.000115740742</v>
          </cell>
          <cell r="P30">
            <v>41484.000115740739</v>
          </cell>
          <cell r="Q30" t="str">
            <v>2035702843</v>
          </cell>
        </row>
        <row r="31">
          <cell r="C31">
            <v>50089540</v>
          </cell>
          <cell r="D31" t="str">
            <v xml:space="preserve">K VENKATACHALAM  </v>
          </cell>
          <cell r="E31" t="str">
            <v>Male</v>
          </cell>
          <cell r="F31" t="str">
            <v>2-7</v>
          </cell>
          <cell r="G31">
            <v>30146001</v>
          </cell>
          <cell r="H31" t="str">
            <v>ABPM</v>
          </cell>
          <cell r="I31">
            <v>119</v>
          </cell>
          <cell r="J31" t="str">
            <v>Gramin Dak Sevaks</v>
          </cell>
          <cell r="K31">
            <v>29106936</v>
          </cell>
          <cell r="L31" t="str">
            <v>Punjaikalakurichi B.O</v>
          </cell>
          <cell r="M31" t="str">
            <v>ABPM, Punjaikalakurichi B.O</v>
          </cell>
          <cell r="N31" t="str">
            <v>AMJPV9491M</v>
          </cell>
          <cell r="O31">
            <v>30468.000115740742</v>
          </cell>
          <cell r="P31">
            <v>41431.000115740739</v>
          </cell>
          <cell r="Q31" t="str">
            <v>7007041074</v>
          </cell>
        </row>
        <row r="32">
          <cell r="C32">
            <v>50089546</v>
          </cell>
          <cell r="D32" t="str">
            <v xml:space="preserve">L SELVARAJ  </v>
          </cell>
          <cell r="E32" t="str">
            <v>Male</v>
          </cell>
          <cell r="F32" t="str">
            <v>2-5</v>
          </cell>
          <cell r="G32">
            <v>30145899</v>
          </cell>
          <cell r="H32" t="str">
            <v>BPM</v>
          </cell>
          <cell r="I32">
            <v>119</v>
          </cell>
          <cell r="J32" t="str">
            <v>Gramin Dak Sevaks</v>
          </cell>
          <cell r="K32">
            <v>29106798</v>
          </cell>
          <cell r="L32" t="str">
            <v>Kannivadi B.O</v>
          </cell>
          <cell r="M32" t="str">
            <v>BPM, Kannivadi B.O</v>
          </cell>
          <cell r="N32" t="str">
            <v>FYTPS3021M</v>
          </cell>
          <cell r="O32">
            <v>29015.000115740742</v>
          </cell>
          <cell r="P32">
            <v>36131.000115740739</v>
          </cell>
          <cell r="Q32" t="str">
            <v>8270867081</v>
          </cell>
        </row>
        <row r="33">
          <cell r="C33">
            <v>50089552</v>
          </cell>
          <cell r="D33" t="str">
            <v xml:space="preserve">M DHANABALAN  </v>
          </cell>
          <cell r="E33" t="str">
            <v>Male</v>
          </cell>
          <cell r="F33" t="str">
            <v>2-8</v>
          </cell>
          <cell r="G33">
            <v>30145875</v>
          </cell>
          <cell r="H33" t="str">
            <v>ABPM</v>
          </cell>
          <cell r="I33">
            <v>119</v>
          </cell>
          <cell r="J33" t="str">
            <v>Gramin Dak Sevaks</v>
          </cell>
          <cell r="K33">
            <v>29106952</v>
          </cell>
          <cell r="L33" t="str">
            <v>S.Vellalapatti B.O</v>
          </cell>
          <cell r="M33" t="str">
            <v>ABPM, S.Vellalapatti B.O</v>
          </cell>
          <cell r="N33" t="str">
            <v>CAVPD0584P</v>
          </cell>
          <cell r="O33">
            <v>24575.000115740742</v>
          </cell>
          <cell r="P33">
            <v>35711.000115740739</v>
          </cell>
          <cell r="Q33" t="str">
            <v>7021793775</v>
          </cell>
        </row>
        <row r="34">
          <cell r="C34">
            <v>50089554</v>
          </cell>
          <cell r="D34" t="str">
            <v xml:space="preserve">M ELANGOVAN  </v>
          </cell>
          <cell r="E34" t="str">
            <v>Male</v>
          </cell>
          <cell r="F34" t="str">
            <v>1-12</v>
          </cell>
          <cell r="G34">
            <v>30145792</v>
          </cell>
          <cell r="H34" t="str">
            <v>GDS Mail Carrier</v>
          </cell>
          <cell r="I34">
            <v>119</v>
          </cell>
          <cell r="J34" t="str">
            <v>Gramin Dak Sevaks</v>
          </cell>
          <cell r="K34">
            <v>29661940</v>
          </cell>
          <cell r="L34" t="str">
            <v>Pasupathipalayam S.O</v>
          </cell>
          <cell r="M34" t="str">
            <v>GDS Mail Carrier, Pasupathipalayam S.O</v>
          </cell>
          <cell r="N34" t="str">
            <v>ABCPD1234E</v>
          </cell>
          <cell r="O34">
            <v>23530.000115740742</v>
          </cell>
          <cell r="P34">
            <v>33580.000115740739</v>
          </cell>
          <cell r="Q34" t="str">
            <v>7021789143</v>
          </cell>
        </row>
        <row r="35">
          <cell r="C35">
            <v>50089559</v>
          </cell>
          <cell r="D35" t="str">
            <v xml:space="preserve">M KANAGARAJ  </v>
          </cell>
          <cell r="E35" t="str">
            <v>Male</v>
          </cell>
          <cell r="F35" t="str">
            <v>1-14</v>
          </cell>
          <cell r="G35">
            <v>30145865</v>
          </cell>
          <cell r="H35" t="str">
            <v>ABPM</v>
          </cell>
          <cell r="I35">
            <v>119</v>
          </cell>
          <cell r="J35" t="str">
            <v>Gramin Dak Sevaks</v>
          </cell>
          <cell r="K35">
            <v>29106834</v>
          </cell>
          <cell r="L35" t="str">
            <v>Kuppachipalayam B.O</v>
          </cell>
          <cell r="M35" t="str">
            <v>ABPM, Kuppachipalayam B.O</v>
          </cell>
          <cell r="N35" t="str">
            <v>ABCPD1234E</v>
          </cell>
          <cell r="O35">
            <v>27882.000115740742</v>
          </cell>
          <cell r="P35">
            <v>35515.000115740739</v>
          </cell>
          <cell r="Q35" t="str">
            <v>2359942437</v>
          </cell>
        </row>
        <row r="36">
          <cell r="C36">
            <v>50089591</v>
          </cell>
          <cell r="D36" t="str">
            <v xml:space="preserve">M R RAJA  </v>
          </cell>
          <cell r="E36" t="str">
            <v>Male</v>
          </cell>
          <cell r="F36" t="str">
            <v>2-8</v>
          </cell>
          <cell r="G36">
            <v>30145911</v>
          </cell>
          <cell r="H36" t="str">
            <v>BPM</v>
          </cell>
          <cell r="I36">
            <v>119</v>
          </cell>
          <cell r="J36" t="str">
            <v>Gramin Dak Sevaks</v>
          </cell>
          <cell r="K36">
            <v>29106975</v>
          </cell>
          <cell r="L36" t="str">
            <v>Thalapatti B.O</v>
          </cell>
          <cell r="M36" t="str">
            <v>BPM, Thalapatti B.O</v>
          </cell>
          <cell r="N36" t="str">
            <v>AOPPR9092E</v>
          </cell>
          <cell r="O36">
            <v>26726.000115740742</v>
          </cell>
          <cell r="P36">
            <v>37041.000115740739</v>
          </cell>
          <cell r="Q36" t="str">
            <v>2828646392</v>
          </cell>
        </row>
        <row r="37">
          <cell r="C37">
            <v>50089613</v>
          </cell>
          <cell r="D37" t="str">
            <v xml:space="preserve">M VANITHA  </v>
          </cell>
          <cell r="E37" t="str">
            <v>Female</v>
          </cell>
          <cell r="F37" t="str">
            <v>2-4</v>
          </cell>
          <cell r="G37">
            <v>30145913</v>
          </cell>
          <cell r="H37" t="str">
            <v>BPM</v>
          </cell>
          <cell r="I37">
            <v>119</v>
          </cell>
          <cell r="J37" t="str">
            <v>Gramin Dak Sevaks</v>
          </cell>
          <cell r="K37">
            <v>29106867</v>
          </cell>
          <cell r="L37" t="str">
            <v>Mudiganam B.O</v>
          </cell>
          <cell r="M37" t="str">
            <v>BPM, Mudiganam B.O</v>
          </cell>
          <cell r="N37" t="str">
            <v>ABCPD1234E</v>
          </cell>
          <cell r="O37">
            <v>29766.000115740742</v>
          </cell>
          <cell r="P37">
            <v>37755.000115740739</v>
          </cell>
          <cell r="Q37" t="str">
            <v>8308476594</v>
          </cell>
        </row>
        <row r="38">
          <cell r="C38">
            <v>50089629</v>
          </cell>
          <cell r="D38" t="str">
            <v xml:space="preserve">N MANIMEKALAI  </v>
          </cell>
          <cell r="E38" t="str">
            <v>Female</v>
          </cell>
          <cell r="F38" t="str">
            <v>1-8</v>
          </cell>
          <cell r="G38">
            <v>30145990</v>
          </cell>
          <cell r="H38" t="str">
            <v>BPM</v>
          </cell>
          <cell r="I38">
            <v>119</v>
          </cell>
          <cell r="J38" t="str">
            <v>Gramin Dak Sevaks</v>
          </cell>
          <cell r="K38">
            <v>29106772</v>
          </cell>
          <cell r="L38" t="str">
            <v>Erachapadi B.O</v>
          </cell>
          <cell r="M38" t="str">
            <v>BPM, Erachapadi B.O</v>
          </cell>
          <cell r="N38" t="str">
            <v>FEQPM0157D</v>
          </cell>
          <cell r="O38">
            <v>29347.000115740742</v>
          </cell>
          <cell r="P38">
            <v>41215.000115740739</v>
          </cell>
          <cell r="Q38" t="str">
            <v>8270937163</v>
          </cell>
        </row>
        <row r="39">
          <cell r="C39">
            <v>50089635</v>
          </cell>
          <cell r="D39" t="str">
            <v xml:space="preserve">N POONGOTHAI  </v>
          </cell>
          <cell r="E39" t="str">
            <v>Female</v>
          </cell>
          <cell r="F39" t="str">
            <v>2-8</v>
          </cell>
          <cell r="G39">
            <v>30145896</v>
          </cell>
          <cell r="H39" t="str">
            <v>BPM</v>
          </cell>
          <cell r="I39">
            <v>119</v>
          </cell>
          <cell r="J39" t="str">
            <v>Gramin Dak Sevaks</v>
          </cell>
          <cell r="K39">
            <v>29106972</v>
          </cell>
          <cell r="L39" t="str">
            <v>Sukkaliyur B.O</v>
          </cell>
          <cell r="M39" t="str">
            <v>BPM, Sukkaliyur B.O</v>
          </cell>
          <cell r="N39" t="str">
            <v>BGHPP3305H</v>
          </cell>
          <cell r="O39">
            <v>29393.000115740742</v>
          </cell>
          <cell r="P39">
            <v>36084.000115740739</v>
          </cell>
          <cell r="Q39" t="str">
            <v>2828665720</v>
          </cell>
        </row>
        <row r="40">
          <cell r="C40">
            <v>50089643</v>
          </cell>
          <cell r="D40" t="str">
            <v xml:space="preserve">N THILAGAVATHI  </v>
          </cell>
          <cell r="E40" t="str">
            <v>Female</v>
          </cell>
          <cell r="F40" t="str">
            <v>2-4</v>
          </cell>
          <cell r="G40">
            <v>30145922</v>
          </cell>
          <cell r="H40" t="str">
            <v>BPM</v>
          </cell>
          <cell r="I40">
            <v>119</v>
          </cell>
          <cell r="J40" t="str">
            <v>Gramin Dak Sevaks</v>
          </cell>
          <cell r="K40">
            <v>29106795</v>
          </cell>
          <cell r="L40" t="str">
            <v>Kanakkuvelampatti B.O</v>
          </cell>
          <cell r="M40" t="str">
            <v>BPM, Kanakkuvelampatti B.O</v>
          </cell>
          <cell r="N40" t="str">
            <v>BFDPN9069K</v>
          </cell>
          <cell r="O40">
            <v>31567.000115740742</v>
          </cell>
          <cell r="P40">
            <v>39294.000115740739</v>
          </cell>
          <cell r="Q40" t="str">
            <v>3540498283</v>
          </cell>
        </row>
        <row r="41">
          <cell r="C41">
            <v>50089645</v>
          </cell>
          <cell r="D41" t="str">
            <v xml:space="preserve">N VELUSAMY  </v>
          </cell>
          <cell r="E41" t="str">
            <v>Male</v>
          </cell>
          <cell r="F41" t="str">
            <v>2-8</v>
          </cell>
          <cell r="G41">
            <v>30145799</v>
          </cell>
          <cell r="H41" t="str">
            <v>Dak Sevak</v>
          </cell>
          <cell r="I41">
            <v>119</v>
          </cell>
          <cell r="J41" t="str">
            <v>Gramin Dak Sevaks</v>
          </cell>
          <cell r="K41">
            <v>29661939</v>
          </cell>
          <cell r="L41" t="str">
            <v>Paramathi (Karur) S.O</v>
          </cell>
          <cell r="M41" t="str">
            <v>Dak Sevak, Paramathi (Karur) S.O</v>
          </cell>
          <cell r="N41" t="str">
            <v>DOGPN3623R</v>
          </cell>
          <cell r="O41">
            <v>24207.000115740742</v>
          </cell>
          <cell r="P41">
            <v>33786.000115740739</v>
          </cell>
          <cell r="Q41" t="str">
            <v>1798065905</v>
          </cell>
        </row>
        <row r="42">
          <cell r="C42">
            <v>50089658</v>
          </cell>
          <cell r="D42" t="str">
            <v xml:space="preserve">P DIVYA  </v>
          </cell>
          <cell r="E42" t="str">
            <v>Female</v>
          </cell>
          <cell r="F42" t="str">
            <v>1-8</v>
          </cell>
          <cell r="G42">
            <v>30145879</v>
          </cell>
          <cell r="H42" t="str">
            <v>BPM</v>
          </cell>
          <cell r="I42">
            <v>119</v>
          </cell>
          <cell r="J42" t="str">
            <v>Gramin Dak Sevaks</v>
          </cell>
          <cell r="K42">
            <v>29106919</v>
          </cell>
          <cell r="L42" t="str">
            <v>Pethachinagar B.O</v>
          </cell>
          <cell r="M42" t="str">
            <v>BPM, Pethachinagar B.O</v>
          </cell>
          <cell r="N42" t="str">
            <v>CSFPD2824N</v>
          </cell>
          <cell r="O42">
            <v>33986.000115740739</v>
          </cell>
          <cell r="P42">
            <v>41718.000115740739</v>
          </cell>
          <cell r="Q42" t="str">
            <v>8330317955</v>
          </cell>
        </row>
        <row r="43">
          <cell r="C43">
            <v>50089660</v>
          </cell>
          <cell r="D43" t="str">
            <v xml:space="preserve">P H KENNEDY SAHAYA RAJA  </v>
          </cell>
          <cell r="E43" t="str">
            <v>Male</v>
          </cell>
          <cell r="F43" t="str">
            <v>2-8</v>
          </cell>
          <cell r="G43">
            <v>30145835</v>
          </cell>
          <cell r="H43" t="str">
            <v>ABPM</v>
          </cell>
          <cell r="I43">
            <v>119</v>
          </cell>
          <cell r="J43" t="str">
            <v>Gramin Dak Sevaks</v>
          </cell>
          <cell r="K43">
            <v>29106765</v>
          </cell>
          <cell r="L43" t="str">
            <v>Dalavapalayam B.O</v>
          </cell>
          <cell r="M43" t="str">
            <v>ABPM, Dalavapalayam B.O</v>
          </cell>
          <cell r="N43" t="str">
            <v>MICPK5834K</v>
          </cell>
          <cell r="O43">
            <v>23421.000115740742</v>
          </cell>
          <cell r="P43">
            <v>34796.000115740739</v>
          </cell>
          <cell r="Q43" t="str">
            <v>2050191202</v>
          </cell>
        </row>
        <row r="44">
          <cell r="C44">
            <v>50089666</v>
          </cell>
          <cell r="D44" t="str">
            <v>Kamaraj  R</v>
          </cell>
          <cell r="E44" t="str">
            <v>Male</v>
          </cell>
          <cell r="F44" t="str">
            <v>2-8</v>
          </cell>
          <cell r="G44">
            <v>30145877</v>
          </cell>
          <cell r="H44" t="str">
            <v>ABPM</v>
          </cell>
          <cell r="I44">
            <v>119</v>
          </cell>
          <cell r="J44" t="str">
            <v>Gramin Dak Sevaks</v>
          </cell>
          <cell r="K44">
            <v>29661942</v>
          </cell>
          <cell r="L44" t="str">
            <v>Puliyur Cement Factory S.O</v>
          </cell>
          <cell r="M44" t="str">
            <v>ABPM, Puliyur Cement Factory S.O</v>
          </cell>
          <cell r="N44" t="str">
            <v>CJCPK7894K</v>
          </cell>
          <cell r="O44">
            <v>23415.000115740742</v>
          </cell>
          <cell r="P44">
            <v>35765.000115740739</v>
          </cell>
          <cell r="Q44" t="str">
            <v>8425648230</v>
          </cell>
        </row>
        <row r="45">
          <cell r="C45">
            <v>50089672</v>
          </cell>
          <cell r="D45" t="str">
            <v xml:space="preserve">P MALAIYAPPAN  </v>
          </cell>
          <cell r="E45" t="str">
            <v>Male</v>
          </cell>
          <cell r="F45" t="str">
            <v>2-13</v>
          </cell>
          <cell r="G45">
            <v>30145768</v>
          </cell>
          <cell r="H45" t="str">
            <v>ABPM</v>
          </cell>
          <cell r="I45">
            <v>119</v>
          </cell>
          <cell r="J45" t="str">
            <v>Gramin Dak Sevaks</v>
          </cell>
          <cell r="K45">
            <v>29106948</v>
          </cell>
          <cell r="L45" t="str">
            <v>Rengamalaipudupatti B.O</v>
          </cell>
          <cell r="M45" t="str">
            <v>ABPM, Rengamalaipudupatti B.O</v>
          </cell>
          <cell r="N45" t="str">
            <v>AKLPM4026H</v>
          </cell>
          <cell r="O45">
            <v>26074.000115740742</v>
          </cell>
          <cell r="P45">
            <v>32690.000115740742</v>
          </cell>
          <cell r="Q45" t="str">
            <v>8423944341</v>
          </cell>
        </row>
        <row r="46">
          <cell r="C46">
            <v>50089677</v>
          </cell>
          <cell r="D46" t="str">
            <v xml:space="preserve">P MUNUSAMY  </v>
          </cell>
          <cell r="E46" t="str">
            <v>Male</v>
          </cell>
          <cell r="F46" t="str">
            <v>2-13</v>
          </cell>
          <cell r="G46">
            <v>30145876</v>
          </cell>
          <cell r="H46" t="str">
            <v>ABPM</v>
          </cell>
          <cell r="I46">
            <v>119</v>
          </cell>
          <cell r="J46" t="str">
            <v>Gramin Dak Sevaks</v>
          </cell>
          <cell r="K46">
            <v>29107004</v>
          </cell>
          <cell r="L46" t="str">
            <v>Veerarakkiam B.O</v>
          </cell>
          <cell r="M46" t="str">
            <v>ABPM, Veerarakkiam B.O</v>
          </cell>
          <cell r="N46" t="str">
            <v>CQCPM7259R</v>
          </cell>
          <cell r="O46">
            <v>22406.000115740742</v>
          </cell>
          <cell r="P46">
            <v>35756.000115740739</v>
          </cell>
          <cell r="Q46" t="str">
            <v>3811478594</v>
          </cell>
        </row>
        <row r="47">
          <cell r="C47">
            <v>50089680</v>
          </cell>
          <cell r="D47" t="str">
            <v xml:space="preserve">P NACHIMUTHU  </v>
          </cell>
          <cell r="E47" t="str">
            <v>Male</v>
          </cell>
          <cell r="F47" t="str">
            <v>2-13</v>
          </cell>
          <cell r="G47">
            <v>30145893</v>
          </cell>
          <cell r="H47" t="str">
            <v>Dak Sevak</v>
          </cell>
          <cell r="I47">
            <v>119</v>
          </cell>
          <cell r="J47" t="str">
            <v>Gramin Dak Sevaks</v>
          </cell>
          <cell r="K47">
            <v>29661915</v>
          </cell>
          <cell r="L47" t="str">
            <v>Andankoil S.O</v>
          </cell>
          <cell r="M47" t="str">
            <v>Dak Sevak, Andankoil S.O</v>
          </cell>
          <cell r="N47" t="str">
            <v>ASZPN6986H</v>
          </cell>
          <cell r="O47">
            <v>23553.000115740742</v>
          </cell>
          <cell r="P47">
            <v>36069.000115740739</v>
          </cell>
          <cell r="Q47" t="str">
            <v>1967060403</v>
          </cell>
        </row>
        <row r="48">
          <cell r="C48">
            <v>50089683</v>
          </cell>
          <cell r="D48" t="str">
            <v xml:space="preserve">P NAGARAJ  </v>
          </cell>
          <cell r="E48" t="str">
            <v>Male</v>
          </cell>
          <cell r="F48" t="str">
            <v>2-4</v>
          </cell>
          <cell r="G48">
            <v>30145930</v>
          </cell>
          <cell r="H48" t="str">
            <v>BPM</v>
          </cell>
          <cell r="I48">
            <v>119</v>
          </cell>
          <cell r="J48" t="str">
            <v>Gramin Dak Sevaks</v>
          </cell>
          <cell r="K48">
            <v>29107000</v>
          </cell>
          <cell r="L48" t="str">
            <v>Varikkapatti B.O</v>
          </cell>
          <cell r="M48" t="str">
            <v>BPM, Varikkapatti B.O</v>
          </cell>
          <cell r="N48" t="str">
            <v>FTLPP5586B</v>
          </cell>
          <cell r="O48">
            <v>27856.000115740742</v>
          </cell>
          <cell r="P48">
            <v>40269.000115740739</v>
          </cell>
          <cell r="Q48" t="str">
            <v>1773553847</v>
          </cell>
        </row>
        <row r="49">
          <cell r="C49">
            <v>50089693</v>
          </cell>
          <cell r="D49" t="str">
            <v xml:space="preserve">P SAKTHEESWARI  </v>
          </cell>
          <cell r="E49" t="str">
            <v>Female</v>
          </cell>
          <cell r="F49" t="str">
            <v>2-4</v>
          </cell>
          <cell r="G49">
            <v>30146034</v>
          </cell>
          <cell r="H49" t="str">
            <v>BPM</v>
          </cell>
          <cell r="I49">
            <v>119</v>
          </cell>
          <cell r="J49" t="str">
            <v>Gramin Dak Sevaks</v>
          </cell>
          <cell r="K49">
            <v>29106881</v>
          </cell>
          <cell r="L49" t="str">
            <v>Nagampalli B.O</v>
          </cell>
          <cell r="M49" t="str">
            <v>BPM, Nagampalli B.O</v>
          </cell>
          <cell r="N49" t="str">
            <v>EKRPS4077Q</v>
          </cell>
          <cell r="O49">
            <v>28665.000115740742</v>
          </cell>
          <cell r="P49">
            <v>41607.000115740739</v>
          </cell>
          <cell r="Q49" t="str">
            <v>1773608639</v>
          </cell>
        </row>
        <row r="50">
          <cell r="C50">
            <v>50089697</v>
          </cell>
          <cell r="D50" t="str">
            <v xml:space="preserve">P SELVARAJ  </v>
          </cell>
          <cell r="E50" t="str">
            <v>Male</v>
          </cell>
          <cell r="F50" t="str">
            <v>2-8</v>
          </cell>
          <cell r="G50">
            <v>30145827</v>
          </cell>
          <cell r="H50" t="str">
            <v>ABPM</v>
          </cell>
          <cell r="I50">
            <v>119</v>
          </cell>
          <cell r="J50" t="str">
            <v>Gramin Dak Sevaks</v>
          </cell>
          <cell r="K50">
            <v>29106917</v>
          </cell>
          <cell r="L50" t="str">
            <v>Periyamathiagudalur B.O</v>
          </cell>
          <cell r="M50" t="str">
            <v>ABPM, Periyamathiagudalur B.O</v>
          </cell>
          <cell r="N50" t="str">
            <v>HEDPS5349N</v>
          </cell>
          <cell r="O50">
            <v>24230.000115740742</v>
          </cell>
          <cell r="P50">
            <v>34625.000115740739</v>
          </cell>
          <cell r="Q50" t="str">
            <v>8270852011</v>
          </cell>
        </row>
        <row r="51">
          <cell r="C51">
            <v>50089698</v>
          </cell>
          <cell r="D51" t="str">
            <v xml:space="preserve">P SENTHAMILSELVAN  </v>
          </cell>
          <cell r="E51" t="str">
            <v>Male</v>
          </cell>
          <cell r="F51" t="str">
            <v>2-13</v>
          </cell>
          <cell r="G51">
            <v>30145716</v>
          </cell>
          <cell r="H51" t="str">
            <v>ABPM</v>
          </cell>
          <cell r="I51">
            <v>119</v>
          </cell>
          <cell r="J51" t="str">
            <v>Gramin Dak Sevaks</v>
          </cell>
          <cell r="K51">
            <v>29106962</v>
          </cell>
          <cell r="L51" t="str">
            <v>Sendamangalam B.O</v>
          </cell>
          <cell r="M51" t="str">
            <v>ABPM, Sendamangalam B.O</v>
          </cell>
          <cell r="N51" t="str">
            <v>HSZPS8677D</v>
          </cell>
          <cell r="O51">
            <v>22719.000115740742</v>
          </cell>
          <cell r="P51">
            <v>30874.000115740742</v>
          </cell>
          <cell r="Q51" t="str">
            <v>8423978126</v>
          </cell>
        </row>
        <row r="52">
          <cell r="C52">
            <v>50089700</v>
          </cell>
          <cell r="D52" t="str">
            <v xml:space="preserve">P SIVANANDAM  </v>
          </cell>
          <cell r="E52" t="str">
            <v>Male</v>
          </cell>
          <cell r="F52" t="str">
            <v>2-13</v>
          </cell>
          <cell r="G52">
            <v>30145676</v>
          </cell>
          <cell r="H52" t="str">
            <v>ABPM</v>
          </cell>
          <cell r="I52">
            <v>119</v>
          </cell>
          <cell r="J52" t="str">
            <v>Gramin Dak Sevaks</v>
          </cell>
          <cell r="K52">
            <v>29106972</v>
          </cell>
          <cell r="L52" t="str">
            <v>Sukkaliyur B.O</v>
          </cell>
          <cell r="M52" t="str">
            <v>ABPM, Sukkaliyur B.O</v>
          </cell>
          <cell r="N52" t="str">
            <v>RJPPS4547P</v>
          </cell>
          <cell r="O52">
            <v>22768.000115740742</v>
          </cell>
          <cell r="P52">
            <v>29830.000115740742</v>
          </cell>
          <cell r="Q52" t="str">
            <v>2828644602</v>
          </cell>
        </row>
        <row r="53">
          <cell r="C53">
            <v>50089704</v>
          </cell>
          <cell r="D53" t="str">
            <v xml:space="preserve">P TAMILARASAN  </v>
          </cell>
          <cell r="E53" t="str">
            <v>Male</v>
          </cell>
          <cell r="F53" t="str">
            <v>2-8</v>
          </cell>
          <cell r="G53">
            <v>30146044</v>
          </cell>
          <cell r="H53" t="str">
            <v>BPM</v>
          </cell>
          <cell r="I53">
            <v>119</v>
          </cell>
          <cell r="J53" t="str">
            <v>Gramin Dak Sevaks</v>
          </cell>
          <cell r="K53">
            <v>29106866</v>
          </cell>
          <cell r="L53" t="str">
            <v>Moolimangalam B.O</v>
          </cell>
          <cell r="M53" t="str">
            <v>BPM, Moolimangalam B.O</v>
          </cell>
          <cell r="N53" t="str">
            <v>AKTPT5373J</v>
          </cell>
          <cell r="O53">
            <v>32689.000115740742</v>
          </cell>
          <cell r="P53">
            <v>41680.000115740739</v>
          </cell>
          <cell r="Q53" t="str">
            <v>2221675524</v>
          </cell>
        </row>
        <row r="54">
          <cell r="C54">
            <v>50089705</v>
          </cell>
          <cell r="D54" t="str">
            <v xml:space="preserve">P USHA  </v>
          </cell>
          <cell r="E54" t="str">
            <v>Female</v>
          </cell>
          <cell r="F54" t="str">
            <v>1-8</v>
          </cell>
          <cell r="G54">
            <v>30145847</v>
          </cell>
          <cell r="H54" t="str">
            <v>BPM</v>
          </cell>
          <cell r="I54">
            <v>119</v>
          </cell>
          <cell r="J54" t="str">
            <v>Gramin Dak Sevaks</v>
          </cell>
          <cell r="K54">
            <v>29106893</v>
          </cell>
          <cell r="L54" t="str">
            <v>Nerur B.O</v>
          </cell>
          <cell r="M54" t="str">
            <v>BPM, Nerur B.O</v>
          </cell>
          <cell r="N54" t="str">
            <v>AIWPU5912D</v>
          </cell>
          <cell r="O54">
            <v>30796.000115740742</v>
          </cell>
          <cell r="P54">
            <v>40731.000115740739</v>
          </cell>
          <cell r="Q54" t="str">
            <v>7021754677</v>
          </cell>
        </row>
        <row r="55">
          <cell r="C55">
            <v>50089706</v>
          </cell>
          <cell r="D55" t="str">
            <v xml:space="preserve">P VANITHA  </v>
          </cell>
          <cell r="E55" t="str">
            <v>Female</v>
          </cell>
          <cell r="F55" t="str">
            <v>1-8</v>
          </cell>
          <cell r="G55">
            <v>30145919</v>
          </cell>
          <cell r="H55" t="str">
            <v>ABPM</v>
          </cell>
          <cell r="I55">
            <v>119</v>
          </cell>
          <cell r="J55" t="str">
            <v>Gramin Dak Sevaks</v>
          </cell>
          <cell r="K55">
            <v>29107008</v>
          </cell>
          <cell r="L55" t="str">
            <v>Velanchettiyur B.O</v>
          </cell>
          <cell r="M55" t="str">
            <v>ABPM, Velanchettiyur B.O</v>
          </cell>
          <cell r="N55" t="str">
            <v>BKOPV8375E</v>
          </cell>
          <cell r="O55">
            <v>32302.000115740742</v>
          </cell>
          <cell r="P55">
            <v>39121.000115740739</v>
          </cell>
          <cell r="Q55" t="str">
            <v>8330062297</v>
          </cell>
        </row>
        <row r="56">
          <cell r="C56">
            <v>50089709</v>
          </cell>
          <cell r="D56" t="str">
            <v xml:space="preserve">R AMSAVALLI  </v>
          </cell>
          <cell r="E56" t="str">
            <v>Female</v>
          </cell>
          <cell r="F56" t="str">
            <v>2-8</v>
          </cell>
          <cell r="G56">
            <v>30146075</v>
          </cell>
          <cell r="H56" t="str">
            <v>BPM</v>
          </cell>
          <cell r="I56">
            <v>119</v>
          </cell>
          <cell r="J56" t="str">
            <v>Gramin Dak Sevaks</v>
          </cell>
          <cell r="K56">
            <v>29106765</v>
          </cell>
          <cell r="L56" t="str">
            <v>Dalavapalayam B.O</v>
          </cell>
          <cell r="M56" t="str">
            <v>BPM, Dalavapalayam B.O</v>
          </cell>
          <cell r="N56" t="str">
            <v>ANRPA3288N</v>
          </cell>
          <cell r="O56">
            <v>27791.000115740742</v>
          </cell>
          <cell r="P56">
            <v>41003.000115740739</v>
          </cell>
          <cell r="Q56" t="str">
            <v>2221685523</v>
          </cell>
        </row>
        <row r="57">
          <cell r="C57">
            <v>50089715</v>
          </cell>
          <cell r="D57" t="str">
            <v xml:space="preserve">R CHANDRADEVI  </v>
          </cell>
          <cell r="E57" t="str">
            <v>Female</v>
          </cell>
          <cell r="F57" t="str">
            <v>2-7</v>
          </cell>
          <cell r="G57">
            <v>30145818</v>
          </cell>
          <cell r="H57" t="str">
            <v>BPM</v>
          </cell>
          <cell r="I57">
            <v>119</v>
          </cell>
          <cell r="J57" t="str">
            <v>Gramin Dak Sevaks</v>
          </cell>
          <cell r="K57">
            <v>29106899</v>
          </cell>
          <cell r="L57" t="str">
            <v>Palaiyur B.O</v>
          </cell>
          <cell r="M57" t="str">
            <v>BPM, Palaiyur B.O</v>
          </cell>
          <cell r="N57" t="str">
            <v>AQWPC4571A</v>
          </cell>
          <cell r="O57">
            <v>23047.000115740742</v>
          </cell>
          <cell r="P57">
            <v>34215.000115740739</v>
          </cell>
          <cell r="Q57" t="str">
            <v>7021777478</v>
          </cell>
        </row>
        <row r="58">
          <cell r="C58">
            <v>50089720</v>
          </cell>
          <cell r="D58" t="str">
            <v xml:space="preserve">R GANESAN  </v>
          </cell>
          <cell r="E58" t="str">
            <v>Male</v>
          </cell>
          <cell r="F58" t="str">
            <v>1-17</v>
          </cell>
          <cell r="G58">
            <v>30145661</v>
          </cell>
          <cell r="H58" t="str">
            <v>ABPM</v>
          </cell>
          <cell r="I58">
            <v>119</v>
          </cell>
          <cell r="J58" t="str">
            <v>Gramin Dak Sevaks</v>
          </cell>
          <cell r="K58">
            <v>29107006</v>
          </cell>
          <cell r="L58" t="str">
            <v>Velampadi B.O</v>
          </cell>
          <cell r="M58" t="str">
            <v>ABPM, Velampadi B.O</v>
          </cell>
          <cell r="N58" t="str">
            <v>BLMPG9252L</v>
          </cell>
          <cell r="O58">
            <v>22405.000115740742</v>
          </cell>
          <cell r="P58">
            <v>29189.000115740742</v>
          </cell>
          <cell r="Q58" t="str">
            <v>8423949159</v>
          </cell>
        </row>
        <row r="59">
          <cell r="C59">
            <v>50089722</v>
          </cell>
          <cell r="D59" t="str">
            <v xml:space="preserve">R GAYATHRI  </v>
          </cell>
          <cell r="E59" t="str">
            <v>Female</v>
          </cell>
          <cell r="F59" t="str">
            <v>1-8</v>
          </cell>
          <cell r="G59">
            <v>30146066</v>
          </cell>
          <cell r="H59" t="str">
            <v>BPM</v>
          </cell>
          <cell r="I59">
            <v>119</v>
          </cell>
          <cell r="J59" t="str">
            <v>Gramin Dak Sevaks</v>
          </cell>
          <cell r="K59">
            <v>29106959</v>
          </cell>
          <cell r="L59" t="str">
            <v>Semangi B.O</v>
          </cell>
          <cell r="M59" t="str">
            <v>BPM, Semangi B.O</v>
          </cell>
          <cell r="N59" t="str">
            <v>DXNPG4734C</v>
          </cell>
          <cell r="O59">
            <v>33674.000115740739</v>
          </cell>
          <cell r="P59">
            <v>41916.000115740739</v>
          </cell>
          <cell r="Q59" t="str">
            <v>8011014205</v>
          </cell>
        </row>
        <row r="60">
          <cell r="C60">
            <v>50089743</v>
          </cell>
          <cell r="D60" t="str">
            <v xml:space="preserve">R PALANISAMY  </v>
          </cell>
          <cell r="E60" t="str">
            <v>Male</v>
          </cell>
          <cell r="F60" t="str">
            <v>1-8</v>
          </cell>
          <cell r="G60">
            <v>30145654</v>
          </cell>
          <cell r="H60" t="str">
            <v>BPM</v>
          </cell>
          <cell r="I60">
            <v>119</v>
          </cell>
          <cell r="J60" t="str">
            <v>Gramin Dak Sevaks</v>
          </cell>
          <cell r="K60">
            <v>29106743</v>
          </cell>
          <cell r="L60" t="str">
            <v>Ammapatti B.O</v>
          </cell>
          <cell r="M60" t="str">
            <v>BPM, Ammapatti B.O</v>
          </cell>
          <cell r="N60" t="str">
            <v>DRBPP4332R</v>
          </cell>
          <cell r="O60">
            <v>24632.000115740742</v>
          </cell>
          <cell r="P60">
            <v>34005.000115740739</v>
          </cell>
          <cell r="Q60" t="str">
            <v>2341771922</v>
          </cell>
        </row>
        <row r="61">
          <cell r="C61">
            <v>50089747</v>
          </cell>
          <cell r="D61" t="str">
            <v xml:space="preserve">R PERIYASAMY  </v>
          </cell>
          <cell r="E61" t="str">
            <v>Male</v>
          </cell>
          <cell r="F61" t="str">
            <v>1-8</v>
          </cell>
          <cell r="G61">
            <v>30145638</v>
          </cell>
          <cell r="H61" t="str">
            <v>BPM</v>
          </cell>
          <cell r="I61">
            <v>119</v>
          </cell>
          <cell r="J61" t="str">
            <v>Gramin Dak Sevaks</v>
          </cell>
          <cell r="K61">
            <v>29106783</v>
          </cell>
          <cell r="L61" t="str">
            <v>K.Pitchampatti B.O</v>
          </cell>
          <cell r="M61" t="str">
            <v>BPM, K.Pitchampatti B.O</v>
          </cell>
          <cell r="N61" t="str">
            <v>DFZPP6856N</v>
          </cell>
          <cell r="O61">
            <v>25343.000115740742</v>
          </cell>
          <cell r="P61">
            <v>40266.000115740739</v>
          </cell>
          <cell r="Q61" t="str">
            <v>2140202306</v>
          </cell>
        </row>
        <row r="62">
          <cell r="C62">
            <v>50089751</v>
          </cell>
          <cell r="D62" t="str">
            <v xml:space="preserve">R PUGALENDI  </v>
          </cell>
          <cell r="E62" t="str">
            <v>Male</v>
          </cell>
          <cell r="F62" t="str">
            <v>1-8</v>
          </cell>
          <cell r="G62">
            <v>30145863</v>
          </cell>
          <cell r="H62" t="str">
            <v>BPM</v>
          </cell>
          <cell r="I62">
            <v>119</v>
          </cell>
          <cell r="J62" t="str">
            <v>Gramin Dak Sevaks</v>
          </cell>
          <cell r="K62">
            <v>29106824</v>
          </cell>
          <cell r="L62" t="str">
            <v>Koonampatti B.O</v>
          </cell>
          <cell r="M62" t="str">
            <v>BPM, Koonampatti B.O</v>
          </cell>
          <cell r="N62" t="str">
            <v>DKJPR8980L</v>
          </cell>
          <cell r="O62">
            <v>25693.000115740742</v>
          </cell>
          <cell r="P62">
            <v>35472.000115740739</v>
          </cell>
          <cell r="Q62" t="str">
            <v>2116956677</v>
          </cell>
        </row>
        <row r="63">
          <cell r="C63">
            <v>50089753</v>
          </cell>
          <cell r="D63" t="str">
            <v xml:space="preserve">R RAJENDRAN  </v>
          </cell>
          <cell r="E63" t="str">
            <v>Male</v>
          </cell>
          <cell r="F63" t="str">
            <v>1-18</v>
          </cell>
          <cell r="G63">
            <v>30145720</v>
          </cell>
          <cell r="H63" t="str">
            <v>ABPM</v>
          </cell>
          <cell r="I63">
            <v>119</v>
          </cell>
          <cell r="J63" t="str">
            <v>Gramin Dak Sevaks</v>
          </cell>
          <cell r="K63">
            <v>29106749</v>
          </cell>
          <cell r="L63" t="str">
            <v>Arikkaranvalasu B.O</v>
          </cell>
          <cell r="M63" t="str">
            <v>ABPM, Arikkaranvalasu B.O</v>
          </cell>
          <cell r="N63" t="str">
            <v>FMVPR2633L</v>
          </cell>
          <cell r="O63">
            <v>22742.000115740742</v>
          </cell>
          <cell r="P63">
            <v>30947.000115740742</v>
          </cell>
          <cell r="Q63" t="str">
            <v>3540272227</v>
          </cell>
        </row>
        <row r="64">
          <cell r="C64">
            <v>50089756</v>
          </cell>
          <cell r="D64" t="str">
            <v xml:space="preserve">R RAMASAMY  </v>
          </cell>
          <cell r="E64" t="str">
            <v>Male</v>
          </cell>
          <cell r="F64" t="str">
            <v>1-8</v>
          </cell>
          <cell r="G64">
            <v>30145740</v>
          </cell>
          <cell r="H64" t="str">
            <v>BPM</v>
          </cell>
          <cell r="I64">
            <v>119</v>
          </cell>
          <cell r="J64" t="str">
            <v>Gramin Dak Sevaks</v>
          </cell>
          <cell r="K64">
            <v>29107019</v>
          </cell>
          <cell r="L64" t="str">
            <v>Zamin Athur B.O</v>
          </cell>
          <cell r="M64" t="str">
            <v>BPM, Zamin Athur B.O</v>
          </cell>
          <cell r="N64" t="str">
            <v>AAHPR7299D</v>
          </cell>
          <cell r="O64">
            <v>22503.000115740742</v>
          </cell>
          <cell r="P64">
            <v>31496.000115740742</v>
          </cell>
          <cell r="Q64" t="str">
            <v>2341763903</v>
          </cell>
        </row>
        <row r="65">
          <cell r="C65">
            <v>50089761</v>
          </cell>
          <cell r="D65" t="str">
            <v xml:space="preserve">R SAMUVEL  </v>
          </cell>
          <cell r="E65" t="str">
            <v>Male</v>
          </cell>
          <cell r="F65" t="str">
            <v>2-9</v>
          </cell>
          <cell r="G65">
            <v>30146118</v>
          </cell>
          <cell r="H65" t="str">
            <v>ABPM</v>
          </cell>
          <cell r="I65">
            <v>119</v>
          </cell>
          <cell r="J65" t="str">
            <v>Gramin Dak Sevaks</v>
          </cell>
          <cell r="K65">
            <v>29661940</v>
          </cell>
          <cell r="L65" t="str">
            <v>Pasupathipalayam S.O</v>
          </cell>
          <cell r="M65" t="str">
            <v>ABPM, Pasupathipalayam S.O</v>
          </cell>
          <cell r="N65" t="str">
            <v>GTJPS0109G</v>
          </cell>
          <cell r="O65">
            <v>23909.000115740742</v>
          </cell>
          <cell r="P65">
            <v>35921.000115740739</v>
          </cell>
          <cell r="Q65" t="str">
            <v>7021780355</v>
          </cell>
        </row>
        <row r="66">
          <cell r="C66">
            <v>50089765</v>
          </cell>
          <cell r="D66" t="str">
            <v xml:space="preserve">R SELVARAJ  </v>
          </cell>
          <cell r="E66" t="str">
            <v>Male</v>
          </cell>
          <cell r="F66" t="str">
            <v>2-13</v>
          </cell>
          <cell r="G66">
            <v>30145743</v>
          </cell>
          <cell r="H66" t="str">
            <v>ABPM</v>
          </cell>
          <cell r="I66">
            <v>119</v>
          </cell>
          <cell r="J66" t="str">
            <v>Gramin Dak Sevaks</v>
          </cell>
          <cell r="K66">
            <v>29106935</v>
          </cell>
          <cell r="L66" t="str">
            <v>Pungambadi B.O</v>
          </cell>
          <cell r="M66" t="str">
            <v>ABPM, Pungambadi B.O</v>
          </cell>
          <cell r="N66" t="str">
            <v>GVRPS2103A</v>
          </cell>
          <cell r="O66">
            <v>23381.000115740742</v>
          </cell>
          <cell r="P66">
            <v>31545.000115740742</v>
          </cell>
          <cell r="Q66" t="str">
            <v>3575351539</v>
          </cell>
        </row>
        <row r="67">
          <cell r="C67">
            <v>50089766</v>
          </cell>
          <cell r="D67" t="str">
            <v xml:space="preserve">R SELVARANI  </v>
          </cell>
          <cell r="E67" t="str">
            <v>Female</v>
          </cell>
          <cell r="F67" t="str">
            <v>1-8</v>
          </cell>
          <cell r="G67">
            <v>30145849</v>
          </cell>
          <cell r="H67" t="str">
            <v>BPM</v>
          </cell>
          <cell r="I67">
            <v>119</v>
          </cell>
          <cell r="J67" t="str">
            <v>Gramin Dak Sevaks</v>
          </cell>
          <cell r="K67">
            <v>29106748</v>
          </cell>
          <cell r="L67" t="str">
            <v>Appipalayam B.O</v>
          </cell>
          <cell r="M67" t="str">
            <v>BPM, Appipalayam B.O</v>
          </cell>
          <cell r="N67" t="str">
            <v>DVGPS3494Q</v>
          </cell>
          <cell r="O67">
            <v>25305.000115740742</v>
          </cell>
          <cell r="P67">
            <v>35092.000115740739</v>
          </cell>
          <cell r="Q67" t="str">
            <v>2828679925</v>
          </cell>
        </row>
        <row r="68">
          <cell r="C68">
            <v>50089767</v>
          </cell>
          <cell r="D68" t="str">
            <v xml:space="preserve">R SENTHIL KUMAR  </v>
          </cell>
          <cell r="E68" t="str">
            <v>Male</v>
          </cell>
          <cell r="F68" t="str">
            <v>1-14</v>
          </cell>
          <cell r="G68">
            <v>30146013</v>
          </cell>
          <cell r="H68" t="str">
            <v>ABPM</v>
          </cell>
          <cell r="I68">
            <v>119</v>
          </cell>
          <cell r="J68" t="str">
            <v>Gramin Dak Sevaks</v>
          </cell>
          <cell r="K68">
            <v>29106919</v>
          </cell>
          <cell r="L68" t="str">
            <v>Pethachinagar B.O</v>
          </cell>
          <cell r="M68" t="str">
            <v>ABPM, Pethachinagar B.O</v>
          </cell>
          <cell r="N68" t="str">
            <v>LWXPS3780D</v>
          </cell>
          <cell r="O68">
            <v>29770.000115740742</v>
          </cell>
          <cell r="P68">
            <v>41466.000115740739</v>
          </cell>
          <cell r="Q68" t="str">
            <v>2341829326</v>
          </cell>
        </row>
        <row r="69">
          <cell r="C69">
            <v>50089779</v>
          </cell>
          <cell r="D69" t="str">
            <v xml:space="preserve">R THANGAVEL  </v>
          </cell>
          <cell r="E69" t="str">
            <v>Male</v>
          </cell>
          <cell r="F69" t="str">
            <v>2-7</v>
          </cell>
          <cell r="G69">
            <v>30145764</v>
          </cell>
          <cell r="H69" t="str">
            <v>ABPM</v>
          </cell>
          <cell r="I69">
            <v>119</v>
          </cell>
          <cell r="J69" t="str">
            <v>Gramin Dak Sevaks</v>
          </cell>
          <cell r="K69">
            <v>29106923</v>
          </cell>
          <cell r="L69" t="str">
            <v>Ponnagoundanur B.O</v>
          </cell>
          <cell r="M69" t="str">
            <v>ABPM, Ponnagoundanur B.O</v>
          </cell>
          <cell r="N69" t="str">
            <v>BKEPT2991L</v>
          </cell>
          <cell r="O69">
            <v>23531.000115740742</v>
          </cell>
          <cell r="P69">
            <v>32562.000115740742</v>
          </cell>
          <cell r="Q69" t="str">
            <v>8330260471</v>
          </cell>
        </row>
        <row r="70">
          <cell r="C70">
            <v>50089785</v>
          </cell>
          <cell r="D70" t="str">
            <v xml:space="preserve">S  KAVITHA  </v>
          </cell>
          <cell r="E70" t="str">
            <v>Female</v>
          </cell>
          <cell r="F70" t="str">
            <v>2-4</v>
          </cell>
          <cell r="G70">
            <v>30225307</v>
          </cell>
          <cell r="H70" t="str">
            <v>ABPM</v>
          </cell>
          <cell r="I70">
            <v>119</v>
          </cell>
          <cell r="J70" t="str">
            <v>Gramin Dak Sevaks</v>
          </cell>
          <cell r="K70">
            <v>29106865</v>
          </cell>
          <cell r="L70" t="str">
            <v>Mookanankurichi B.O</v>
          </cell>
          <cell r="M70" t="str">
            <v>ABPM, Mookanankurichi B.O</v>
          </cell>
          <cell r="N70" t="str">
            <v>CCXPK6925P</v>
          </cell>
          <cell r="O70">
            <v>29735.000115740742</v>
          </cell>
          <cell r="P70">
            <v>41922.000115740739</v>
          </cell>
          <cell r="Q70" t="str">
            <v>1861959797</v>
          </cell>
        </row>
        <row r="71">
          <cell r="C71">
            <v>50089792</v>
          </cell>
          <cell r="D71" t="str">
            <v xml:space="preserve">S BALAGURUSAMY  </v>
          </cell>
          <cell r="E71" t="str">
            <v>Male</v>
          </cell>
          <cell r="F71" t="str">
            <v>2-7</v>
          </cell>
          <cell r="G71">
            <v>30145757</v>
          </cell>
          <cell r="H71" t="str">
            <v>ABPM</v>
          </cell>
          <cell r="I71">
            <v>119</v>
          </cell>
          <cell r="J71" t="str">
            <v>Gramin Dak Sevaks</v>
          </cell>
          <cell r="K71">
            <v>29661921</v>
          </cell>
          <cell r="L71" t="str">
            <v>Isanatham S.O</v>
          </cell>
          <cell r="M71" t="str">
            <v>ABPM, Isanatham S.O</v>
          </cell>
          <cell r="N71" t="str">
            <v>ABCPD1234E</v>
          </cell>
          <cell r="O71">
            <v>23385.000115740742</v>
          </cell>
          <cell r="P71">
            <v>32325.000115740742</v>
          </cell>
          <cell r="Q71" t="str">
            <v>2341767055</v>
          </cell>
        </row>
        <row r="72">
          <cell r="C72">
            <v>50089794</v>
          </cell>
          <cell r="D72" t="str">
            <v xml:space="preserve">S DHARMALINGAM  </v>
          </cell>
          <cell r="E72" t="str">
            <v>Male</v>
          </cell>
          <cell r="F72" t="str">
            <v>2-11</v>
          </cell>
          <cell r="G72">
            <v>30145678</v>
          </cell>
          <cell r="H72" t="str">
            <v>ABPM</v>
          </cell>
          <cell r="I72">
            <v>119</v>
          </cell>
          <cell r="J72" t="str">
            <v>Gramin Dak Sevaks</v>
          </cell>
          <cell r="K72">
            <v>29106981</v>
          </cell>
          <cell r="L72" t="str">
            <v>Thokkupattipudur B.O</v>
          </cell>
          <cell r="M72" t="str">
            <v>ABPM, Thokkupattipudur B.O</v>
          </cell>
          <cell r="N72" t="str">
            <v>CGUPD3740C</v>
          </cell>
          <cell r="O72">
            <v>23446.000115740742</v>
          </cell>
          <cell r="P72">
            <v>35440.000115740739</v>
          </cell>
          <cell r="Q72" t="str">
            <v>8271029410</v>
          </cell>
        </row>
        <row r="73">
          <cell r="C73">
            <v>50089799</v>
          </cell>
          <cell r="D73" t="str">
            <v xml:space="preserve">S GANDHIMATHI  </v>
          </cell>
          <cell r="E73" t="str">
            <v>Female</v>
          </cell>
          <cell r="F73" t="str">
            <v>2-8</v>
          </cell>
          <cell r="G73">
            <v>30145853</v>
          </cell>
          <cell r="H73" t="str">
            <v>BPM</v>
          </cell>
          <cell r="I73">
            <v>119</v>
          </cell>
          <cell r="J73" t="str">
            <v>Gramin Dak Sevaks</v>
          </cell>
          <cell r="K73">
            <v>29107008</v>
          </cell>
          <cell r="L73" t="str">
            <v>Velanchettiyur B.O</v>
          </cell>
          <cell r="M73" t="str">
            <v>BPM, Velanchettiyur B.O</v>
          </cell>
          <cell r="N73" t="str">
            <v>CLNPG9833T</v>
          </cell>
          <cell r="O73">
            <v>25744.000115740742</v>
          </cell>
          <cell r="P73">
            <v>35191.000115740739</v>
          </cell>
          <cell r="Q73" t="str">
            <v>8330128674</v>
          </cell>
        </row>
        <row r="74">
          <cell r="C74">
            <v>50089812</v>
          </cell>
          <cell r="D74" t="str">
            <v xml:space="preserve">S MANIVEL  </v>
          </cell>
          <cell r="E74" t="str">
            <v>Male</v>
          </cell>
          <cell r="F74" t="str">
            <v>1-8</v>
          </cell>
          <cell r="G74">
            <v>30145821</v>
          </cell>
          <cell r="H74" t="str">
            <v>BPM</v>
          </cell>
          <cell r="I74">
            <v>119</v>
          </cell>
          <cell r="J74" t="str">
            <v>Gramin Dak Sevaks</v>
          </cell>
          <cell r="K74">
            <v>29106826</v>
          </cell>
          <cell r="L74" t="str">
            <v>Kottapatti B.O</v>
          </cell>
          <cell r="M74" t="str">
            <v>BPM, Kottapatti B.O</v>
          </cell>
          <cell r="N74" t="str">
            <v>TPKPS3138P</v>
          </cell>
          <cell r="O74">
            <v>24643.000115740742</v>
          </cell>
          <cell r="P74">
            <v>34276.000115740739</v>
          </cell>
          <cell r="Q74" t="str">
            <v>8423958771</v>
          </cell>
        </row>
        <row r="75">
          <cell r="C75">
            <v>50089813</v>
          </cell>
          <cell r="D75" t="str">
            <v xml:space="preserve">S MARIASOOSAI  </v>
          </cell>
          <cell r="E75" t="str">
            <v>Male</v>
          </cell>
          <cell r="F75" t="str">
            <v>2-8</v>
          </cell>
          <cell r="G75">
            <v>30146117</v>
          </cell>
          <cell r="H75" t="str">
            <v>ABPM</v>
          </cell>
          <cell r="I75">
            <v>119</v>
          </cell>
          <cell r="J75" t="str">
            <v>Gramin Dak Sevaks</v>
          </cell>
          <cell r="K75">
            <v>29106841</v>
          </cell>
          <cell r="L75" t="str">
            <v>Lingamanaickenpatti B.O</v>
          </cell>
          <cell r="M75" t="str">
            <v>ABPM, Lingamanaickenpatti B.O</v>
          </cell>
          <cell r="N75" t="str">
            <v>ATDPM6984H</v>
          </cell>
          <cell r="O75">
            <v>25329.000115740742</v>
          </cell>
          <cell r="P75">
            <v>33941.000115740739</v>
          </cell>
          <cell r="Q75" t="str">
            <v>8330096231</v>
          </cell>
        </row>
        <row r="76">
          <cell r="C76">
            <v>50089819</v>
          </cell>
          <cell r="D76" t="str">
            <v xml:space="preserve">S NATARAJAN  </v>
          </cell>
          <cell r="E76" t="str">
            <v>Male</v>
          </cell>
          <cell r="F76" t="str">
            <v>2-8</v>
          </cell>
          <cell r="G76">
            <v>30145967</v>
          </cell>
          <cell r="H76" t="str">
            <v>BPM</v>
          </cell>
          <cell r="I76">
            <v>119</v>
          </cell>
          <cell r="J76" t="str">
            <v>Gramin Dak Sevaks</v>
          </cell>
          <cell r="K76">
            <v>29106888</v>
          </cell>
          <cell r="L76" t="str">
            <v>Nanjaithalaiyur B.O</v>
          </cell>
          <cell r="M76" t="str">
            <v>BPM, Nanjaithalaiyur B.O</v>
          </cell>
          <cell r="N76" t="str">
            <v>AXYPN1949G</v>
          </cell>
          <cell r="O76">
            <v>27185.000115740742</v>
          </cell>
          <cell r="P76">
            <v>36300.000115740739</v>
          </cell>
          <cell r="Q76" t="str">
            <v>8423956511</v>
          </cell>
        </row>
        <row r="77">
          <cell r="C77">
            <v>50089822</v>
          </cell>
          <cell r="D77" t="str">
            <v xml:space="preserve">S NITHYAKALYANI  </v>
          </cell>
          <cell r="E77" t="str">
            <v>Female</v>
          </cell>
          <cell r="F77" t="str">
            <v>1-8</v>
          </cell>
          <cell r="G77">
            <v>30145718</v>
          </cell>
          <cell r="H77" t="str">
            <v>BPM</v>
          </cell>
          <cell r="I77">
            <v>119</v>
          </cell>
          <cell r="J77" t="str">
            <v>Gramin Dak Sevaks</v>
          </cell>
          <cell r="K77">
            <v>29107016</v>
          </cell>
          <cell r="L77" t="str">
            <v>Viswanathapuri B.O</v>
          </cell>
          <cell r="M77" t="str">
            <v>BPM, Viswanathapuri B.O</v>
          </cell>
          <cell r="N77" t="str">
            <v>AVVPN4583D</v>
          </cell>
          <cell r="O77">
            <v>32283.000115740742</v>
          </cell>
          <cell r="P77">
            <v>40350.000115740739</v>
          </cell>
          <cell r="Q77" t="str">
            <v>3812203317</v>
          </cell>
        </row>
        <row r="78">
          <cell r="C78">
            <v>50089827</v>
          </cell>
          <cell r="D78" t="str">
            <v xml:space="preserve">S POOVALINGAM  </v>
          </cell>
          <cell r="E78" t="str">
            <v>Male</v>
          </cell>
          <cell r="F78" t="str">
            <v>2-13</v>
          </cell>
          <cell r="G78">
            <v>30145700</v>
          </cell>
          <cell r="H78" t="str">
            <v>ABPM</v>
          </cell>
          <cell r="I78">
            <v>119</v>
          </cell>
          <cell r="J78" t="str">
            <v>Gramin Dak Sevaks</v>
          </cell>
          <cell r="K78">
            <v>29106899</v>
          </cell>
          <cell r="L78" t="str">
            <v>Palaiyur B.O</v>
          </cell>
          <cell r="M78" t="str">
            <v>ABPM, Palaiyur B.O</v>
          </cell>
          <cell r="N78" t="str">
            <v>QHVPS5822L</v>
          </cell>
          <cell r="O78">
            <v>22707.000115740742</v>
          </cell>
          <cell r="P78">
            <v>30414.000115740742</v>
          </cell>
          <cell r="Q78" t="str">
            <v>7021793881</v>
          </cell>
        </row>
        <row r="79">
          <cell r="C79">
            <v>50089838</v>
          </cell>
          <cell r="D79" t="str">
            <v xml:space="preserve">S SELVARAJ  </v>
          </cell>
          <cell r="E79" t="str">
            <v>Male</v>
          </cell>
          <cell r="F79" t="str">
            <v>2-13</v>
          </cell>
          <cell r="G79">
            <v>30145709</v>
          </cell>
          <cell r="H79" t="str">
            <v>ABPM</v>
          </cell>
          <cell r="I79">
            <v>119</v>
          </cell>
          <cell r="J79" t="str">
            <v>Gramin Dak Sevaks</v>
          </cell>
          <cell r="K79">
            <v>29106745</v>
          </cell>
          <cell r="L79" t="str">
            <v>Anangur B.O</v>
          </cell>
          <cell r="M79" t="str">
            <v>ABPM, Anangur B.O</v>
          </cell>
          <cell r="N79" t="str">
            <v>EHKPS7194L</v>
          </cell>
          <cell r="O79">
            <v>22528.000115740742</v>
          </cell>
          <cell r="P79">
            <v>30658.000115740742</v>
          </cell>
          <cell r="Q79" t="str">
            <v>8270894716</v>
          </cell>
        </row>
        <row r="80">
          <cell r="C80">
            <v>50089842</v>
          </cell>
          <cell r="D80" t="str">
            <v xml:space="preserve">S TAMILSELVI  </v>
          </cell>
          <cell r="E80" t="str">
            <v>Female</v>
          </cell>
          <cell r="F80" t="str">
            <v>2-8</v>
          </cell>
          <cell r="G80">
            <v>30146067</v>
          </cell>
          <cell r="H80" t="str">
            <v>ABPM</v>
          </cell>
          <cell r="I80">
            <v>119</v>
          </cell>
          <cell r="J80" t="str">
            <v>Gramin Dak Sevaks</v>
          </cell>
          <cell r="K80">
            <v>29106739</v>
          </cell>
          <cell r="L80" t="str">
            <v>Alamarathupatti B.O</v>
          </cell>
          <cell r="M80" t="str">
            <v>ABPM, Alamarathupatti B.O</v>
          </cell>
          <cell r="N80" t="str">
            <v>RATPS2155C</v>
          </cell>
          <cell r="O80">
            <v>32185.000115740742</v>
          </cell>
          <cell r="P80">
            <v>41919.000115740739</v>
          </cell>
          <cell r="Q80" t="str">
            <v>8330261452</v>
          </cell>
        </row>
        <row r="81">
          <cell r="C81">
            <v>50089848</v>
          </cell>
          <cell r="D81" t="str">
            <v xml:space="preserve">T DHANDAPANI  </v>
          </cell>
          <cell r="E81" t="str">
            <v>Male</v>
          </cell>
          <cell r="F81" t="str">
            <v>2-8</v>
          </cell>
          <cell r="G81">
            <v>30145602</v>
          </cell>
          <cell r="H81" t="str">
            <v>ABPM</v>
          </cell>
          <cell r="I81">
            <v>119</v>
          </cell>
          <cell r="J81" t="str">
            <v>Gramin Dak Sevaks</v>
          </cell>
          <cell r="K81">
            <v>29106915</v>
          </cell>
          <cell r="L81" t="str">
            <v>Periyamanjuveli B.O</v>
          </cell>
          <cell r="M81" t="str">
            <v>ABPM, Periyamanjuveli B.O</v>
          </cell>
          <cell r="N81" t="str">
            <v>BKDPD2428R</v>
          </cell>
          <cell r="O81">
            <v>29089.000115740742</v>
          </cell>
          <cell r="P81">
            <v>41711.000115740739</v>
          </cell>
          <cell r="Q81" t="str">
            <v>8424000677</v>
          </cell>
        </row>
        <row r="82">
          <cell r="C82">
            <v>50089851</v>
          </cell>
          <cell r="D82" t="str">
            <v xml:space="preserve">T LOGAMBAL  </v>
          </cell>
          <cell r="E82" t="str">
            <v>Female</v>
          </cell>
          <cell r="F82" t="str">
            <v>1-13</v>
          </cell>
          <cell r="G82">
            <v>30145857</v>
          </cell>
          <cell r="H82" t="str">
            <v>BPM</v>
          </cell>
          <cell r="I82">
            <v>119</v>
          </cell>
          <cell r="J82" t="str">
            <v>Gramin Dak Sevaks</v>
          </cell>
          <cell r="K82">
            <v>29106894</v>
          </cell>
          <cell r="L82" t="str">
            <v>Noyyal B.O</v>
          </cell>
          <cell r="M82" t="str">
            <v>BPM, Noyyal B.O</v>
          </cell>
          <cell r="N82" t="str">
            <v>AKWPL1469Q</v>
          </cell>
          <cell r="O82">
            <v>24646.000115740742</v>
          </cell>
          <cell r="P82">
            <v>35247.000115740739</v>
          </cell>
          <cell r="Q82" t="str">
            <v>8010923410</v>
          </cell>
        </row>
        <row r="83">
          <cell r="C83">
            <v>50089856</v>
          </cell>
          <cell r="D83" t="str">
            <v xml:space="preserve">T RADIKA  </v>
          </cell>
          <cell r="E83" t="str">
            <v>Female</v>
          </cell>
          <cell r="F83" t="str">
            <v>2-8</v>
          </cell>
          <cell r="G83">
            <v>30145907</v>
          </cell>
          <cell r="H83" t="str">
            <v>BPM</v>
          </cell>
          <cell r="I83">
            <v>119</v>
          </cell>
          <cell r="J83" t="str">
            <v>Gramin Dak Sevaks</v>
          </cell>
          <cell r="K83">
            <v>29106905</v>
          </cell>
          <cell r="L83" t="str">
            <v>Pallapalayam B.O</v>
          </cell>
          <cell r="M83" t="str">
            <v>BPM, Pallapalayam B.O</v>
          </cell>
          <cell r="N83" t="str">
            <v>BVIPR6654M</v>
          </cell>
          <cell r="O83">
            <v>27823.000115740742</v>
          </cell>
          <cell r="P83">
            <v>36913.000115740739</v>
          </cell>
          <cell r="Q83" t="str">
            <v>8308440009</v>
          </cell>
        </row>
        <row r="84">
          <cell r="C84">
            <v>50089860</v>
          </cell>
          <cell r="D84" t="str">
            <v xml:space="preserve">T SANGEETHA  </v>
          </cell>
          <cell r="E84" t="str">
            <v>Female</v>
          </cell>
          <cell r="F84" t="str">
            <v>2-4</v>
          </cell>
          <cell r="G84">
            <v>30145844</v>
          </cell>
          <cell r="H84" t="str">
            <v>BPM</v>
          </cell>
          <cell r="I84">
            <v>119</v>
          </cell>
          <cell r="J84" t="str">
            <v>Gramin Dak Sevaks</v>
          </cell>
          <cell r="K84">
            <v>29106813</v>
          </cell>
          <cell r="L84" t="str">
            <v>Kathalapatti B.O</v>
          </cell>
          <cell r="M84" t="str">
            <v>BPM, Kathalapatti B.O</v>
          </cell>
          <cell r="N84" t="str">
            <v>DUWPS9519H</v>
          </cell>
          <cell r="O84">
            <v>30280.000115740742</v>
          </cell>
          <cell r="P84">
            <v>40731.000115740739</v>
          </cell>
          <cell r="Q84" t="str">
            <v>1961320893</v>
          </cell>
        </row>
        <row r="85">
          <cell r="C85">
            <v>50089866</v>
          </cell>
          <cell r="D85" t="str">
            <v xml:space="preserve">T THAMILARASI  </v>
          </cell>
          <cell r="E85" t="str">
            <v>Female</v>
          </cell>
          <cell r="F85" t="str">
            <v>2-8</v>
          </cell>
          <cell r="G85">
            <v>30145918</v>
          </cell>
          <cell r="H85" t="str">
            <v>BPM</v>
          </cell>
          <cell r="I85">
            <v>119</v>
          </cell>
          <cell r="J85" t="str">
            <v>Gramin Dak Sevaks</v>
          </cell>
          <cell r="K85">
            <v>29106853</v>
          </cell>
          <cell r="L85" t="str">
            <v>Manmangalam B.O</v>
          </cell>
          <cell r="M85" t="str">
            <v>BPM, Manmangalam B.O</v>
          </cell>
          <cell r="N85" t="str">
            <v>ALUPT3858J</v>
          </cell>
          <cell r="O85">
            <v>28285.000115740742</v>
          </cell>
          <cell r="P85">
            <v>39016.000115740739</v>
          </cell>
          <cell r="Q85" t="str">
            <v>2233983686</v>
          </cell>
        </row>
        <row r="86">
          <cell r="C86">
            <v>50089872</v>
          </cell>
          <cell r="D86" t="str">
            <v xml:space="preserve">V C S RAJAN  </v>
          </cell>
          <cell r="E86" t="str">
            <v>Male</v>
          </cell>
          <cell r="F86" t="str">
            <v>1-14</v>
          </cell>
          <cell r="G86">
            <v>30145685</v>
          </cell>
          <cell r="H86" t="str">
            <v>Dak Sevak</v>
          </cell>
          <cell r="I86">
            <v>119</v>
          </cell>
          <cell r="J86" t="str">
            <v>Gramin Dak Sevaks</v>
          </cell>
          <cell r="K86">
            <v>29661945</v>
          </cell>
          <cell r="L86" t="str">
            <v>Sengunthapuram S.O</v>
          </cell>
          <cell r="M86" t="str">
            <v>Dak Sevak, Sengunthapuram S.O</v>
          </cell>
          <cell r="N86" t="str">
            <v>ABCPD1234E</v>
          </cell>
          <cell r="O86">
            <v>22447.000115740742</v>
          </cell>
          <cell r="P86">
            <v>30005.000115740742</v>
          </cell>
          <cell r="Q86" t="str">
            <v>8308606838</v>
          </cell>
        </row>
        <row r="87">
          <cell r="C87">
            <v>50089897</v>
          </cell>
          <cell r="D87" t="str">
            <v xml:space="preserve">V RAMACHANDRAN  </v>
          </cell>
          <cell r="E87" t="str">
            <v>Male</v>
          </cell>
          <cell r="F87" t="str">
            <v>1-14</v>
          </cell>
          <cell r="G87">
            <v>30145767</v>
          </cell>
          <cell r="H87" t="str">
            <v>Dak Sevak</v>
          </cell>
          <cell r="I87">
            <v>119</v>
          </cell>
          <cell r="J87" t="str">
            <v>Gramin Dak Sevaks</v>
          </cell>
          <cell r="K87">
            <v>29661957</v>
          </cell>
          <cell r="L87" t="str">
            <v>Velliyanai S.O</v>
          </cell>
          <cell r="M87" t="str">
            <v>Dak Sevak, Velliyanai S.O</v>
          </cell>
          <cell r="N87" t="str">
            <v>EXRPR6261Q</v>
          </cell>
          <cell r="O87">
            <v>25572.000115740742</v>
          </cell>
          <cell r="P87">
            <v>32675.000115740742</v>
          </cell>
          <cell r="Q87" t="str">
            <v>2035650090</v>
          </cell>
        </row>
        <row r="88">
          <cell r="C88">
            <v>50089901</v>
          </cell>
          <cell r="D88" t="str">
            <v xml:space="preserve">V RENUGA  </v>
          </cell>
          <cell r="E88" t="str">
            <v>Female</v>
          </cell>
          <cell r="F88" t="str">
            <v>1-8</v>
          </cell>
          <cell r="G88">
            <v>30145995</v>
          </cell>
          <cell r="H88" t="str">
            <v>BPM</v>
          </cell>
          <cell r="I88">
            <v>119</v>
          </cell>
          <cell r="J88" t="str">
            <v>Gramin Dak Sevaks</v>
          </cell>
          <cell r="K88">
            <v>29106841</v>
          </cell>
          <cell r="L88" t="str">
            <v>Lingamanaickenpatti B.O</v>
          </cell>
          <cell r="M88" t="str">
            <v>BPM, Lingamanaickenpatti B.O</v>
          </cell>
          <cell r="N88" t="str">
            <v>DLLPR5292C</v>
          </cell>
          <cell r="O88">
            <v>32185.000115740742</v>
          </cell>
          <cell r="P88">
            <v>41383.000115740739</v>
          </cell>
          <cell r="Q88" t="str">
            <v>8330306629</v>
          </cell>
        </row>
        <row r="89">
          <cell r="C89">
            <v>50113729</v>
          </cell>
          <cell r="D89" t="str">
            <v>BRINDHADEVI  R</v>
          </cell>
          <cell r="E89" t="str">
            <v>Female</v>
          </cell>
          <cell r="F89" t="str">
            <v>1-8</v>
          </cell>
          <cell r="G89">
            <v>30145738</v>
          </cell>
          <cell r="H89" t="str">
            <v>BPM</v>
          </cell>
          <cell r="I89">
            <v>119</v>
          </cell>
          <cell r="J89" t="str">
            <v>Gramin Dak Sevaks</v>
          </cell>
          <cell r="K89">
            <v>29106879</v>
          </cell>
          <cell r="L89" t="str">
            <v>Nadayanur B.O</v>
          </cell>
          <cell r="M89" t="str">
            <v>BPM, Nadayanur B.O</v>
          </cell>
          <cell r="N89" t="str">
            <v>CFGPB1145G</v>
          </cell>
          <cell r="O89">
            <v>35247.000115740739</v>
          </cell>
          <cell r="P89">
            <v>43104.000115740739</v>
          </cell>
          <cell r="Q89" t="str">
            <v>0779700114</v>
          </cell>
        </row>
        <row r="90">
          <cell r="C90">
            <v>50206651</v>
          </cell>
          <cell r="D90" t="str">
            <v>UMA MAGESHWARI  A</v>
          </cell>
          <cell r="E90" t="str">
            <v>Female</v>
          </cell>
          <cell r="F90" t="str">
            <v>2-8</v>
          </cell>
          <cell r="G90">
            <v>30225245</v>
          </cell>
          <cell r="H90" t="str">
            <v>ABPM</v>
          </cell>
          <cell r="I90">
            <v>119</v>
          </cell>
          <cell r="J90" t="str">
            <v>Gramin Dak Sevaks</v>
          </cell>
          <cell r="K90">
            <v>29661942</v>
          </cell>
          <cell r="L90" t="str">
            <v>Puliyur Cement Factory S.O</v>
          </cell>
          <cell r="M90" t="str">
            <v>ABPM, Puliyur Cement Factory S.O</v>
          </cell>
          <cell r="N90" t="str">
            <v>ADRPU0180D</v>
          </cell>
          <cell r="O90">
            <v>34064.000115740739</v>
          </cell>
          <cell r="P90">
            <v>42572.000115740739</v>
          </cell>
          <cell r="Q90" t="str">
            <v>31762561786</v>
          </cell>
        </row>
        <row r="91">
          <cell r="C91">
            <v>50451240</v>
          </cell>
          <cell r="D91" t="str">
            <v>RAGUNATH  A</v>
          </cell>
          <cell r="E91" t="str">
            <v>Male</v>
          </cell>
          <cell r="F91" t="str">
            <v>1-8</v>
          </cell>
          <cell r="G91">
            <v>30145759</v>
          </cell>
          <cell r="H91" t="str">
            <v>BPM</v>
          </cell>
          <cell r="I91">
            <v>119</v>
          </cell>
          <cell r="J91" t="str">
            <v>Gramin Dak Sevaks</v>
          </cell>
          <cell r="K91">
            <v>29106954</v>
          </cell>
          <cell r="L91" t="str">
            <v>Sandapadi B.O</v>
          </cell>
          <cell r="M91" t="str">
            <v>BPM, Sandapadi B.O</v>
          </cell>
          <cell r="N91" t="str">
            <v>EZOPR1776P</v>
          </cell>
          <cell r="O91">
            <v>32237.000115740742</v>
          </cell>
          <cell r="P91">
            <v>43120.000115740739</v>
          </cell>
          <cell r="Q91" t="str">
            <v>3912107591</v>
          </cell>
        </row>
        <row r="92">
          <cell r="C92">
            <v>50451966</v>
          </cell>
          <cell r="D92" t="str">
            <v>VAIRAMANI  M</v>
          </cell>
          <cell r="E92" t="str">
            <v>Female</v>
          </cell>
          <cell r="F92" t="str">
            <v>1-8</v>
          </cell>
          <cell r="G92">
            <v>30577451</v>
          </cell>
          <cell r="H92" t="str">
            <v>BPM</v>
          </cell>
          <cell r="I92">
            <v>119</v>
          </cell>
          <cell r="J92" t="str">
            <v>Gramin Dak Sevaks</v>
          </cell>
          <cell r="K92">
            <v>29106944</v>
          </cell>
          <cell r="L92" t="str">
            <v>Rajapuram B.O</v>
          </cell>
          <cell r="M92" t="str">
            <v>BPM, Rajapuram B.O</v>
          </cell>
          <cell r="N92" t="str">
            <v>BPFPV5436Q</v>
          </cell>
          <cell r="O92">
            <v>32909.000115740739</v>
          </cell>
          <cell r="P92">
            <v>43120.000115740739</v>
          </cell>
          <cell r="Q92" t="str">
            <v>3903986693</v>
          </cell>
        </row>
        <row r="93">
          <cell r="C93">
            <v>50467327</v>
          </cell>
          <cell r="D93" t="str">
            <v>VAISHALI  N</v>
          </cell>
          <cell r="E93" t="str">
            <v>Female</v>
          </cell>
          <cell r="F93" t="str">
            <v>1-7</v>
          </cell>
          <cell r="G93">
            <v>30146106</v>
          </cell>
          <cell r="H93" t="str">
            <v>BPM</v>
          </cell>
          <cell r="I93">
            <v>119</v>
          </cell>
          <cell r="J93" t="str">
            <v>Gramin Dak Sevaks</v>
          </cell>
          <cell r="K93">
            <v>29106865</v>
          </cell>
          <cell r="L93" t="str">
            <v>Mookanankurichi B.O</v>
          </cell>
          <cell r="M93" t="str">
            <v>BPM, Mookanankurichi B.O</v>
          </cell>
          <cell r="N93" t="str">
            <v>BUNPV1206M</v>
          </cell>
          <cell r="O93">
            <v>34958.000115740739</v>
          </cell>
          <cell r="P93">
            <v>43698.000115740739</v>
          </cell>
          <cell r="Q93" t="str">
            <v>4524887840</v>
          </cell>
        </row>
        <row r="94">
          <cell r="C94">
            <v>50467723</v>
          </cell>
          <cell r="D94" t="str">
            <v>SARANYA  PALRAJ</v>
          </cell>
          <cell r="E94" t="str">
            <v>Female</v>
          </cell>
          <cell r="F94" t="str">
            <v>1-6</v>
          </cell>
          <cell r="G94">
            <v>30145758</v>
          </cell>
          <cell r="H94" t="str">
            <v>ABPM</v>
          </cell>
          <cell r="I94">
            <v>119</v>
          </cell>
          <cell r="J94" t="str">
            <v>Gramin Dak Sevaks</v>
          </cell>
          <cell r="K94">
            <v>29106912</v>
          </cell>
          <cell r="L94" t="str">
            <v>Pappanaickenpatti B.O</v>
          </cell>
          <cell r="M94" t="str">
            <v>ABPM, Pappanaickenpatti B.O</v>
          </cell>
          <cell r="N94" t="str">
            <v>KQMPS2981E</v>
          </cell>
          <cell r="O94">
            <v>36545.000115740739</v>
          </cell>
          <cell r="P94">
            <v>43711.000115740739</v>
          </cell>
          <cell r="Q94" t="str">
            <v>4542611489</v>
          </cell>
        </row>
        <row r="95">
          <cell r="C95">
            <v>50470061</v>
          </cell>
          <cell r="D95" t="str">
            <v>ABIRAMASUNDHARI  S M</v>
          </cell>
          <cell r="E95" t="str">
            <v>Female</v>
          </cell>
          <cell r="F95" t="str">
            <v>1-7</v>
          </cell>
          <cell r="G95">
            <v>30145762</v>
          </cell>
          <cell r="H95" t="str">
            <v>BPM</v>
          </cell>
          <cell r="I95">
            <v>119</v>
          </cell>
          <cell r="J95" t="str">
            <v>Gramin Dak Sevaks</v>
          </cell>
          <cell r="K95">
            <v>29106889</v>
          </cell>
          <cell r="L95" t="str">
            <v>Nanniyur B.O</v>
          </cell>
          <cell r="M95" t="str">
            <v>BPM, Nanniyur B.O</v>
          </cell>
          <cell r="N95" t="str">
            <v>ABCPD1234E</v>
          </cell>
          <cell r="O95">
            <v>35707.000115740739</v>
          </cell>
          <cell r="P95">
            <v>43733.000115740739</v>
          </cell>
          <cell r="Q95" t="str">
            <v>4563524959</v>
          </cell>
        </row>
        <row r="96">
          <cell r="C96">
            <v>50470068</v>
          </cell>
          <cell r="D96" t="str">
            <v>SATHYA  T</v>
          </cell>
          <cell r="E96" t="str">
            <v>Female</v>
          </cell>
          <cell r="F96" t="str">
            <v>2-4</v>
          </cell>
          <cell r="G96">
            <v>30225218</v>
          </cell>
          <cell r="H96" t="str">
            <v>BPM</v>
          </cell>
          <cell r="I96">
            <v>119</v>
          </cell>
          <cell r="J96" t="str">
            <v>Gramin Dak Sevaks</v>
          </cell>
          <cell r="K96">
            <v>29106766</v>
          </cell>
          <cell r="L96" t="str">
            <v>East Thavittupalayam B.O</v>
          </cell>
          <cell r="M96" t="str">
            <v>BPM, East Thavittupalayam B.O</v>
          </cell>
          <cell r="N96" t="str">
            <v>ABCPD1234E</v>
          </cell>
          <cell r="O96">
            <v>36626.000115740739</v>
          </cell>
          <cell r="P96">
            <v>43733.000115740739</v>
          </cell>
          <cell r="Q96" t="str">
            <v>4566544893</v>
          </cell>
        </row>
        <row r="97">
          <cell r="C97">
            <v>50470075</v>
          </cell>
          <cell r="D97" t="str">
            <v>ELAKKIYA  V</v>
          </cell>
          <cell r="E97" t="str">
            <v>Female</v>
          </cell>
          <cell r="F97" t="str">
            <v>1-7</v>
          </cell>
          <cell r="G97">
            <v>30145770</v>
          </cell>
          <cell r="H97" t="str">
            <v>BPM</v>
          </cell>
          <cell r="I97">
            <v>119</v>
          </cell>
          <cell r="J97" t="str">
            <v>Gramin Dak Sevaks</v>
          </cell>
          <cell r="K97">
            <v>29106927</v>
          </cell>
          <cell r="L97" t="str">
            <v>Porani B.O</v>
          </cell>
          <cell r="M97" t="str">
            <v>BPM, Porani B.O</v>
          </cell>
          <cell r="N97" t="str">
            <v>ADMPE2906Q</v>
          </cell>
          <cell r="O97">
            <v>36268.000115740739</v>
          </cell>
          <cell r="P97">
            <v>43733.000115740739</v>
          </cell>
          <cell r="Q97" t="str">
            <v>4576116103</v>
          </cell>
        </row>
        <row r="98">
          <cell r="C98">
            <v>50470190</v>
          </cell>
          <cell r="D98" t="str">
            <v>AARTHI  J</v>
          </cell>
          <cell r="E98" t="str">
            <v>Female</v>
          </cell>
          <cell r="F98" t="str">
            <v>1-7</v>
          </cell>
          <cell r="G98">
            <v>30225045</v>
          </cell>
          <cell r="H98" t="str">
            <v>Dak Sevak</v>
          </cell>
          <cell r="I98">
            <v>119</v>
          </cell>
          <cell r="J98" t="str">
            <v>Gramin Dak Sevaks</v>
          </cell>
          <cell r="K98">
            <v>29661922</v>
          </cell>
          <cell r="L98" t="str">
            <v>Kagtithapuram S.O</v>
          </cell>
          <cell r="M98" t="str">
            <v>Dak Sevak, Kagtithapuram S.O</v>
          </cell>
          <cell r="N98" t="str">
            <v>BQNPA7819R</v>
          </cell>
          <cell r="O98">
            <v>35940.000115740739</v>
          </cell>
          <cell r="P98">
            <v>43711.000115740739</v>
          </cell>
          <cell r="Q98" t="str">
            <v>4552410331</v>
          </cell>
        </row>
        <row r="99">
          <cell r="C99">
            <v>50472103</v>
          </cell>
          <cell r="D99" t="str">
            <v>YUVARANI  R</v>
          </cell>
          <cell r="E99" t="str">
            <v>Female</v>
          </cell>
          <cell r="F99" t="str">
            <v>1-4</v>
          </cell>
          <cell r="G99">
            <v>30225076</v>
          </cell>
          <cell r="H99" t="str">
            <v>BPM</v>
          </cell>
          <cell r="I99">
            <v>119</v>
          </cell>
          <cell r="J99" t="str">
            <v>Gramin Dak Sevaks</v>
          </cell>
          <cell r="K99">
            <v>29106869</v>
          </cell>
          <cell r="L99" t="str">
            <v>Munnur B.O</v>
          </cell>
          <cell r="M99" t="str">
            <v>BPM, Munnur B.O</v>
          </cell>
          <cell r="N99" t="str">
            <v>AKLPY0411E</v>
          </cell>
          <cell r="O99">
            <v>35218.000115740739</v>
          </cell>
          <cell r="P99">
            <v>43739.000115740739</v>
          </cell>
          <cell r="Q99" t="str">
            <v>4575966211</v>
          </cell>
        </row>
        <row r="100">
          <cell r="C100">
            <v>50472104</v>
          </cell>
          <cell r="D100" t="str">
            <v>DHARANI  B</v>
          </cell>
          <cell r="E100" t="str">
            <v>Female</v>
          </cell>
          <cell r="F100" t="str">
            <v>1-4</v>
          </cell>
          <cell r="G100">
            <v>30145977</v>
          </cell>
          <cell r="H100" t="str">
            <v>BPM</v>
          </cell>
          <cell r="I100">
            <v>119</v>
          </cell>
          <cell r="J100" t="str">
            <v>Gramin Dak Sevaks</v>
          </cell>
          <cell r="K100">
            <v>29106822</v>
          </cell>
          <cell r="L100" t="str">
            <v>Kodanthur B.O</v>
          </cell>
          <cell r="M100" t="str">
            <v>BPM, Kodanthur B.O</v>
          </cell>
          <cell r="N100" t="str">
            <v>FTTPD8064E</v>
          </cell>
          <cell r="O100">
            <v>36499.000115740739</v>
          </cell>
          <cell r="P100">
            <v>43739.000115740739</v>
          </cell>
          <cell r="Q100" t="str">
            <v>4588781160</v>
          </cell>
        </row>
        <row r="101">
          <cell r="C101">
            <v>50472108</v>
          </cell>
          <cell r="D101" t="str">
            <v>SARANYA  M</v>
          </cell>
          <cell r="E101" t="str">
            <v>Female</v>
          </cell>
          <cell r="F101" t="str">
            <v>2-4</v>
          </cell>
          <cell r="G101">
            <v>30225025</v>
          </cell>
          <cell r="H101" t="str">
            <v>ABPM</v>
          </cell>
          <cell r="I101">
            <v>119</v>
          </cell>
          <cell r="J101" t="str">
            <v>Gramin Dak Sevaks</v>
          </cell>
          <cell r="K101">
            <v>29107012</v>
          </cell>
          <cell r="L101" t="str">
            <v>Venjamangudalur B.O</v>
          </cell>
          <cell r="M101" t="str">
            <v>ABPM, Venjamangudalur B.O</v>
          </cell>
          <cell r="N101" t="str">
            <v>ABCPD1234E</v>
          </cell>
          <cell r="O101">
            <v>36059.000115740739</v>
          </cell>
          <cell r="P101">
            <v>43739.000115740739</v>
          </cell>
          <cell r="Q101" t="str">
            <v>3555207139</v>
          </cell>
        </row>
        <row r="102">
          <cell r="C102">
            <v>50472110</v>
          </cell>
          <cell r="D102" t="str">
            <v>KEERTHIKA  K</v>
          </cell>
          <cell r="E102" t="str">
            <v>Female</v>
          </cell>
          <cell r="F102" t="str">
            <v>2-4</v>
          </cell>
          <cell r="G102">
            <v>30225383</v>
          </cell>
          <cell r="H102" t="str">
            <v>ABPM</v>
          </cell>
          <cell r="I102">
            <v>119</v>
          </cell>
          <cell r="J102" t="str">
            <v>Gramin Dak Sevaks</v>
          </cell>
          <cell r="K102">
            <v>29106788</v>
          </cell>
          <cell r="L102" t="str">
            <v>Kakkavadi B.O</v>
          </cell>
          <cell r="M102" t="str">
            <v>ABPM, Kakkavadi B.O</v>
          </cell>
          <cell r="N102" t="str">
            <v>GAWPK2094A</v>
          </cell>
          <cell r="O102">
            <v>36262.000115740739</v>
          </cell>
          <cell r="P102">
            <v>43738.000115740739</v>
          </cell>
          <cell r="Q102" t="str">
            <v>3690061443</v>
          </cell>
        </row>
        <row r="103">
          <cell r="C103">
            <v>50472112</v>
          </cell>
          <cell r="D103" t="str">
            <v xml:space="preserve">S PRITHIKA  </v>
          </cell>
          <cell r="E103" t="str">
            <v>Female</v>
          </cell>
          <cell r="F103" t="str">
            <v>1-4</v>
          </cell>
          <cell r="G103">
            <v>30146053</v>
          </cell>
          <cell r="H103" t="str">
            <v>BPM</v>
          </cell>
          <cell r="I103">
            <v>119</v>
          </cell>
          <cell r="J103" t="str">
            <v>Gramin Dak Sevaks</v>
          </cell>
          <cell r="K103">
            <v>29107015</v>
          </cell>
          <cell r="L103" t="str">
            <v>Vettamangalam B.O</v>
          </cell>
          <cell r="M103" t="str">
            <v>BPM, Vettamangalam B.O</v>
          </cell>
          <cell r="N103" t="str">
            <v>EEVPP6713J</v>
          </cell>
          <cell r="O103">
            <v>36495.000115740739</v>
          </cell>
          <cell r="P103">
            <v>43738.000115740739</v>
          </cell>
          <cell r="Q103" t="str">
            <v>4572262330</v>
          </cell>
        </row>
        <row r="104">
          <cell r="C104">
            <v>50472185</v>
          </cell>
          <cell r="D104" t="str">
            <v>KARTHIKA  S</v>
          </cell>
          <cell r="E104" t="str">
            <v>Female</v>
          </cell>
          <cell r="F104" t="str">
            <v>1-4</v>
          </cell>
          <cell r="G104">
            <v>30145855</v>
          </cell>
          <cell r="H104" t="str">
            <v>BPM</v>
          </cell>
          <cell r="I104">
            <v>119</v>
          </cell>
          <cell r="J104" t="str">
            <v>Gramin Dak Sevaks</v>
          </cell>
          <cell r="K104">
            <v>29106770</v>
          </cell>
          <cell r="L104" t="str">
            <v>Emur B.O</v>
          </cell>
          <cell r="M104" t="str">
            <v>BPM, Emur B.O</v>
          </cell>
          <cell r="N104" t="str">
            <v>IAFPK1071E</v>
          </cell>
          <cell r="O104">
            <v>35208.000115740739</v>
          </cell>
          <cell r="P104">
            <v>43738.000115740739</v>
          </cell>
          <cell r="Q104" t="str">
            <v>4575972038</v>
          </cell>
        </row>
        <row r="105">
          <cell r="C105">
            <v>50474211</v>
          </cell>
          <cell r="D105" t="str">
            <v>DIVYABHARATHI  C</v>
          </cell>
          <cell r="E105" t="str">
            <v>Female</v>
          </cell>
          <cell r="F105" t="str">
            <v>2-4</v>
          </cell>
          <cell r="G105">
            <v>30145735</v>
          </cell>
          <cell r="H105" t="str">
            <v>ABPM</v>
          </cell>
          <cell r="I105">
            <v>119</v>
          </cell>
          <cell r="J105" t="str">
            <v>Gramin Dak Sevaks</v>
          </cell>
          <cell r="K105">
            <v>29106813</v>
          </cell>
          <cell r="L105" t="str">
            <v>Kathalapatti B.O</v>
          </cell>
          <cell r="M105" t="str">
            <v>ABPM, Kathalapatti B.O</v>
          </cell>
          <cell r="N105" t="str">
            <v>ABCPD1234E</v>
          </cell>
          <cell r="O105">
            <v>35571.000115740739</v>
          </cell>
          <cell r="P105">
            <v>43810.000115740739</v>
          </cell>
          <cell r="Q105" t="str">
            <v>4650875100</v>
          </cell>
        </row>
        <row r="106">
          <cell r="C106">
            <v>50475720</v>
          </cell>
          <cell r="D106" t="str">
            <v>KALAIARASI  J</v>
          </cell>
          <cell r="E106" t="str">
            <v>Female</v>
          </cell>
          <cell r="F106" t="str">
            <v>1-7</v>
          </cell>
          <cell r="G106">
            <v>30225711</v>
          </cell>
          <cell r="H106" t="str">
            <v>ABPM</v>
          </cell>
          <cell r="I106">
            <v>119</v>
          </cell>
          <cell r="J106" t="str">
            <v>Gramin Dak Sevaks</v>
          </cell>
          <cell r="K106">
            <v>29661923</v>
          </cell>
          <cell r="L106" t="str">
            <v>Karur Collectorate S.O</v>
          </cell>
          <cell r="M106" t="str">
            <v>ABPM, Karur Collectorate S.O</v>
          </cell>
          <cell r="N106" t="str">
            <v>HHGPK3535Q</v>
          </cell>
          <cell r="O106">
            <v>35806.000115740739</v>
          </cell>
          <cell r="P106">
            <v>43831.000115740739</v>
          </cell>
          <cell r="Q106" t="str">
            <v>4693814975</v>
          </cell>
        </row>
        <row r="107">
          <cell r="C107">
            <v>50479311</v>
          </cell>
          <cell r="D107" t="str">
            <v>SOWMIYA  P</v>
          </cell>
          <cell r="E107" t="str">
            <v>Female</v>
          </cell>
          <cell r="F107" t="str">
            <v>1-6</v>
          </cell>
          <cell r="G107">
            <v>30145613</v>
          </cell>
          <cell r="H107" t="str">
            <v>BPM</v>
          </cell>
          <cell r="I107">
            <v>119</v>
          </cell>
          <cell r="J107" t="str">
            <v>Gramin Dak Sevaks</v>
          </cell>
          <cell r="K107">
            <v>29106803</v>
          </cell>
          <cell r="L107" t="str">
            <v>Karudayampalayam B.O</v>
          </cell>
          <cell r="M107" t="str">
            <v>BPM, Karudayampalayam B.O</v>
          </cell>
          <cell r="N107" t="str">
            <v>FIEPS0586N</v>
          </cell>
          <cell r="O107">
            <v>35001.000115740739</v>
          </cell>
          <cell r="P107">
            <v>43899.000115740739</v>
          </cell>
          <cell r="Q107" t="str">
            <v>4750256106</v>
          </cell>
        </row>
        <row r="108">
          <cell r="C108">
            <v>50479316</v>
          </cell>
          <cell r="D108" t="str">
            <v>SRIDEVI  T</v>
          </cell>
          <cell r="E108" t="str">
            <v>Female</v>
          </cell>
          <cell r="F108" t="str">
            <v>2-4</v>
          </cell>
          <cell r="G108">
            <v>30146000</v>
          </cell>
          <cell r="H108" t="str">
            <v>BPM</v>
          </cell>
          <cell r="I108">
            <v>119</v>
          </cell>
          <cell r="J108" t="str">
            <v>Gramin Dak Sevaks</v>
          </cell>
          <cell r="K108">
            <v>29106861</v>
          </cell>
          <cell r="L108" t="str">
            <v>Minnampalli B.O</v>
          </cell>
          <cell r="M108" t="str">
            <v>BPM, Minnampalli B.O</v>
          </cell>
          <cell r="N108" t="str">
            <v>MDUPS5491J</v>
          </cell>
          <cell r="O108">
            <v>30094.000115740742</v>
          </cell>
          <cell r="P108">
            <v>43899.000115740739</v>
          </cell>
          <cell r="Q108" t="str">
            <v>2233988315</v>
          </cell>
        </row>
        <row r="109">
          <cell r="C109">
            <v>50481149</v>
          </cell>
          <cell r="D109" t="str">
            <v>DHIVYA  M</v>
          </cell>
          <cell r="E109" t="str">
            <v>Female</v>
          </cell>
          <cell r="F109" t="str">
            <v>2-6</v>
          </cell>
          <cell r="G109">
            <v>30146041</v>
          </cell>
          <cell r="H109" t="str">
            <v>ABPM</v>
          </cell>
          <cell r="I109">
            <v>119</v>
          </cell>
          <cell r="J109" t="str">
            <v>Gramin Dak Sevaks</v>
          </cell>
          <cell r="K109">
            <v>29106853</v>
          </cell>
          <cell r="L109" t="str">
            <v>Manmangalam B.O</v>
          </cell>
          <cell r="M109" t="str">
            <v>ABPM, Manmangalam B.O</v>
          </cell>
          <cell r="N109" t="str">
            <v>FGFPD6296F</v>
          </cell>
          <cell r="O109">
            <v>35845.000115740739</v>
          </cell>
          <cell r="P109">
            <v>43969.000115740739</v>
          </cell>
          <cell r="Q109" t="str">
            <v>4788197693</v>
          </cell>
        </row>
        <row r="110">
          <cell r="C110">
            <v>50485677</v>
          </cell>
          <cell r="D110" t="str">
            <v>SWETHA  S</v>
          </cell>
          <cell r="E110" t="str">
            <v>Female</v>
          </cell>
          <cell r="F110" t="str">
            <v>2-4</v>
          </cell>
          <cell r="G110">
            <v>30225434</v>
          </cell>
          <cell r="H110" t="str">
            <v>ABPM</v>
          </cell>
          <cell r="I110">
            <v>119</v>
          </cell>
          <cell r="J110" t="str">
            <v>Gramin Dak Sevaks</v>
          </cell>
          <cell r="K110">
            <v>29106758</v>
          </cell>
          <cell r="L110" t="str">
            <v>Chinnamookkanankurichi B.O</v>
          </cell>
          <cell r="M110" t="str">
            <v>ABPM, Chinnamookkanankurichi B.O</v>
          </cell>
          <cell r="N110" t="str">
            <v>NJTPS7032D</v>
          </cell>
          <cell r="O110">
            <v>36356.000115740739</v>
          </cell>
          <cell r="P110">
            <v>44013.000115740739</v>
          </cell>
          <cell r="Q110" t="str">
            <v>4841832974</v>
          </cell>
        </row>
        <row r="111">
          <cell r="C111">
            <v>50485678</v>
          </cell>
          <cell r="D111" t="str">
            <v>SNEHA  M</v>
          </cell>
          <cell r="E111" t="str">
            <v>Female</v>
          </cell>
          <cell r="F111" t="str">
            <v>1-6</v>
          </cell>
          <cell r="G111">
            <v>30225250</v>
          </cell>
          <cell r="H111" t="str">
            <v>ABPM</v>
          </cell>
          <cell r="I111">
            <v>119</v>
          </cell>
          <cell r="J111" t="str">
            <v>Gramin Dak Sevaks</v>
          </cell>
          <cell r="K111">
            <v>29107002</v>
          </cell>
          <cell r="L111" t="str">
            <v>Vedichipalayam B.O</v>
          </cell>
          <cell r="M111" t="str">
            <v>ABPM, Vedichipalayam B.O</v>
          </cell>
          <cell r="N111" t="str">
            <v>ABCPD1234E</v>
          </cell>
          <cell r="O111">
            <v>36457.000115740739</v>
          </cell>
          <cell r="P111">
            <v>44013.000115740739</v>
          </cell>
          <cell r="Q111" t="str">
            <v>4826609768</v>
          </cell>
        </row>
        <row r="112">
          <cell r="C112">
            <v>50491436</v>
          </cell>
          <cell r="D112" t="str">
            <v>MYTHILY  S</v>
          </cell>
          <cell r="E112" t="str">
            <v>Female</v>
          </cell>
          <cell r="F112" t="str">
            <v>1-6</v>
          </cell>
          <cell r="G112">
            <v>30225181</v>
          </cell>
          <cell r="H112" t="str">
            <v>ABPM</v>
          </cell>
          <cell r="I112">
            <v>119</v>
          </cell>
          <cell r="J112" t="str">
            <v>Gramin Dak Sevaks</v>
          </cell>
          <cell r="K112">
            <v>29106893</v>
          </cell>
          <cell r="L112" t="str">
            <v>Nerur B.O</v>
          </cell>
          <cell r="M112" t="str">
            <v>ABPM, Nerur B.O</v>
          </cell>
          <cell r="N112" t="str">
            <v>ABCPD1234E</v>
          </cell>
          <cell r="O112">
            <v>35259.000115740739</v>
          </cell>
          <cell r="P112">
            <v>44046.000115740739</v>
          </cell>
          <cell r="Q112" t="str">
            <v>4860070753</v>
          </cell>
        </row>
        <row r="113">
          <cell r="C113">
            <v>50491438</v>
          </cell>
          <cell r="D113" t="str">
            <v>VIVEK  P</v>
          </cell>
          <cell r="E113" t="str">
            <v>Male</v>
          </cell>
          <cell r="F113" t="str">
            <v>1-6</v>
          </cell>
          <cell r="G113">
            <v>30225419</v>
          </cell>
          <cell r="H113" t="str">
            <v>ABPM</v>
          </cell>
          <cell r="I113">
            <v>119</v>
          </cell>
          <cell r="J113" t="str">
            <v>Gramin Dak Sevaks</v>
          </cell>
          <cell r="K113">
            <v>29106998</v>
          </cell>
          <cell r="L113" t="str">
            <v>Vangal East B.O</v>
          </cell>
          <cell r="M113" t="str">
            <v>ABPM, Vangal East B.O</v>
          </cell>
          <cell r="N113" t="str">
            <v>BSNPV2868R</v>
          </cell>
          <cell r="O113">
            <v>36762.000115740739</v>
          </cell>
          <cell r="P113">
            <v>44046.000115740739</v>
          </cell>
          <cell r="Q113" t="str">
            <v>40298834288</v>
          </cell>
        </row>
        <row r="114">
          <cell r="C114">
            <v>50491439</v>
          </cell>
          <cell r="D114" t="str">
            <v>SUVETHA  M</v>
          </cell>
          <cell r="E114" t="str">
            <v>Female</v>
          </cell>
          <cell r="F114" t="str">
            <v>2-4</v>
          </cell>
          <cell r="G114">
            <v>30225043</v>
          </cell>
          <cell r="H114" t="str">
            <v>ABPM</v>
          </cell>
          <cell r="I114">
            <v>119</v>
          </cell>
          <cell r="J114" t="str">
            <v>Gramin Dak Sevaks</v>
          </cell>
          <cell r="K114">
            <v>29106866</v>
          </cell>
          <cell r="L114" t="str">
            <v>Moolimangalam B.O</v>
          </cell>
          <cell r="M114" t="str">
            <v>ABPM, Moolimangalam B.O</v>
          </cell>
          <cell r="N114" t="str">
            <v>MZWPS3084B</v>
          </cell>
          <cell r="O114">
            <v>36918.000115740739</v>
          </cell>
          <cell r="P114">
            <v>44046.000115740739</v>
          </cell>
          <cell r="Q114" t="str">
            <v>4865617915</v>
          </cell>
        </row>
        <row r="115">
          <cell r="C115">
            <v>50502902</v>
          </cell>
          <cell r="D115" t="str">
            <v>SRIRATHNA  S</v>
          </cell>
          <cell r="E115" t="str">
            <v>Female</v>
          </cell>
          <cell r="F115" t="str">
            <v>2-2</v>
          </cell>
          <cell r="G115">
            <v>30146020</v>
          </cell>
          <cell r="H115" t="str">
            <v>BPM</v>
          </cell>
          <cell r="I115">
            <v>119</v>
          </cell>
          <cell r="J115" t="str">
            <v>Gramin Dak Sevaks</v>
          </cell>
          <cell r="K115">
            <v>29106990</v>
          </cell>
          <cell r="L115" t="str">
            <v>Uppidamangalam B.O</v>
          </cell>
          <cell r="M115" t="str">
            <v>BPM, Uppidamangalam B.O</v>
          </cell>
          <cell r="N115" t="str">
            <v>NYHPS9649D</v>
          </cell>
          <cell r="O115">
            <v>36151.000115740739</v>
          </cell>
          <cell r="P115">
            <v>44249.000115740739</v>
          </cell>
          <cell r="Q115" t="str">
            <v>010001100297</v>
          </cell>
        </row>
        <row r="116">
          <cell r="C116">
            <v>50503844</v>
          </cell>
          <cell r="D116" t="str">
            <v>GAYATHRI   R</v>
          </cell>
          <cell r="E116" t="str">
            <v>Female</v>
          </cell>
          <cell r="F116" t="str">
            <v>1-5</v>
          </cell>
          <cell r="G116">
            <v>30145974</v>
          </cell>
          <cell r="H116" t="str">
            <v>BPM</v>
          </cell>
          <cell r="I116">
            <v>119</v>
          </cell>
          <cell r="J116" t="str">
            <v>Gramin Dak Sevaks</v>
          </cell>
          <cell r="K116">
            <v>29106885</v>
          </cell>
          <cell r="L116" t="str">
            <v>Nambagoundanur B.O</v>
          </cell>
          <cell r="M116" t="str">
            <v>BPM, Nambagoundanur B.O</v>
          </cell>
          <cell r="N116" t="str">
            <v>CIYPG8805K</v>
          </cell>
          <cell r="O116">
            <v>36097.000115740739</v>
          </cell>
          <cell r="P116">
            <v>44256.000115740739</v>
          </cell>
          <cell r="Q116" t="str">
            <v>010002255617</v>
          </cell>
        </row>
        <row r="117">
          <cell r="C117">
            <v>50504712</v>
          </cell>
          <cell r="D117" t="str">
            <v>RAMYA  P</v>
          </cell>
          <cell r="E117" t="str">
            <v>Female</v>
          </cell>
          <cell r="F117" t="str">
            <v>1-5</v>
          </cell>
          <cell r="G117">
            <v>30145590</v>
          </cell>
          <cell r="H117" t="str">
            <v>BPM</v>
          </cell>
          <cell r="I117">
            <v>119</v>
          </cell>
          <cell r="J117" t="str">
            <v>Gramin Dak Sevaks</v>
          </cell>
          <cell r="K117">
            <v>29106760</v>
          </cell>
          <cell r="L117" t="str">
            <v>Chinnavangalampalayam B.O</v>
          </cell>
          <cell r="M117" t="str">
            <v>BPM, Chinnavangalampalayam B.O</v>
          </cell>
          <cell r="N117" t="str">
            <v>ABCPD1234E</v>
          </cell>
          <cell r="O117">
            <v>36629.000115740739</v>
          </cell>
          <cell r="P117">
            <v>44258.000115740739</v>
          </cell>
          <cell r="Q117" t="str">
            <v>010002897210</v>
          </cell>
        </row>
        <row r="118">
          <cell r="C118">
            <v>50504714</v>
          </cell>
          <cell r="D118" t="str">
            <v>MONISHA  P</v>
          </cell>
          <cell r="E118" t="str">
            <v>Female</v>
          </cell>
          <cell r="F118" t="str">
            <v>2-4</v>
          </cell>
          <cell r="G118">
            <v>30145972</v>
          </cell>
          <cell r="H118" t="str">
            <v>BPM</v>
          </cell>
          <cell r="I118">
            <v>119</v>
          </cell>
          <cell r="J118" t="str">
            <v>Gramin Dak Sevaks</v>
          </cell>
          <cell r="K118">
            <v>29106949</v>
          </cell>
          <cell r="L118" t="str">
            <v>Renganathampettai B.O</v>
          </cell>
          <cell r="M118" t="str">
            <v>BPM, Renganathampettai B.O</v>
          </cell>
          <cell r="N118" t="str">
            <v>ABCPD1234E</v>
          </cell>
          <cell r="O118">
            <v>36439.000115740739</v>
          </cell>
          <cell r="P118">
            <v>44258.000115740739</v>
          </cell>
          <cell r="Q118" t="str">
            <v>010002529752</v>
          </cell>
        </row>
        <row r="119">
          <cell r="C119">
            <v>50504715</v>
          </cell>
          <cell r="D119" t="str">
            <v>SIVASANKARI  R</v>
          </cell>
          <cell r="E119" t="str">
            <v>Female</v>
          </cell>
          <cell r="F119" t="str">
            <v>2-4</v>
          </cell>
          <cell r="G119">
            <v>30146064</v>
          </cell>
          <cell r="H119" t="str">
            <v>BPM</v>
          </cell>
          <cell r="I119">
            <v>119</v>
          </cell>
          <cell r="J119" t="str">
            <v>Gramin Dak Sevaks</v>
          </cell>
          <cell r="K119">
            <v>29107013</v>
          </cell>
          <cell r="L119" t="str">
            <v>Vennamalai B.O</v>
          </cell>
          <cell r="M119" t="str">
            <v>BPM, Vennamalai B.O</v>
          </cell>
          <cell r="N119" t="str">
            <v>ABCPD1234E</v>
          </cell>
          <cell r="O119">
            <v>36211.000115740739</v>
          </cell>
          <cell r="P119">
            <v>44258.000115740739</v>
          </cell>
          <cell r="Q119" t="str">
            <v>010003037487</v>
          </cell>
        </row>
        <row r="120">
          <cell r="C120">
            <v>50504723</v>
          </cell>
          <cell r="D120" t="str">
            <v>ABINAYA  S</v>
          </cell>
          <cell r="E120" t="str">
            <v>Female</v>
          </cell>
          <cell r="F120" t="str">
            <v>2-4</v>
          </cell>
          <cell r="G120">
            <v>30145620</v>
          </cell>
          <cell r="H120" t="str">
            <v>Dak Sevak</v>
          </cell>
          <cell r="I120">
            <v>119</v>
          </cell>
          <cell r="J120" t="str">
            <v>Gramin Dak Sevaks</v>
          </cell>
          <cell r="K120">
            <v>29661952</v>
          </cell>
          <cell r="L120" t="str">
            <v>Tirumanilaiyur S.O</v>
          </cell>
          <cell r="M120" t="str">
            <v>Dak Sevak, Tirumanilaiyur S.O</v>
          </cell>
          <cell r="N120" t="str">
            <v>NQQPS8933H</v>
          </cell>
          <cell r="O120">
            <v>36653.000115740739</v>
          </cell>
          <cell r="P120">
            <v>44256.000115740739</v>
          </cell>
          <cell r="Q120" t="str">
            <v>010002472543</v>
          </cell>
        </row>
        <row r="121">
          <cell r="C121">
            <v>50504871</v>
          </cell>
          <cell r="D121" t="str">
            <v>DEEPIKA  G</v>
          </cell>
          <cell r="E121" t="str">
            <v>Female</v>
          </cell>
          <cell r="F121" t="str">
            <v>1-5</v>
          </cell>
          <cell r="G121">
            <v>30145962</v>
          </cell>
          <cell r="H121" t="str">
            <v>BPM</v>
          </cell>
          <cell r="I121">
            <v>119</v>
          </cell>
          <cell r="J121" t="str">
            <v>Gramin Dak Sevaks</v>
          </cell>
          <cell r="K121">
            <v>29106775</v>
          </cell>
          <cell r="L121" t="str">
            <v>Gudalur B.O</v>
          </cell>
          <cell r="M121" t="str">
            <v>BPM, Gudalur B.O</v>
          </cell>
          <cell r="N121" t="str">
            <v>CKWPD1951K</v>
          </cell>
          <cell r="O121">
            <v>35735.000115740739</v>
          </cell>
          <cell r="P121">
            <v>44258.000115740739</v>
          </cell>
          <cell r="Q121" t="str">
            <v>010002318955</v>
          </cell>
        </row>
        <row r="122">
          <cell r="C122">
            <v>50506776</v>
          </cell>
          <cell r="D122" t="str">
            <v>LATHA  S</v>
          </cell>
          <cell r="E122" t="str">
            <v>Female</v>
          </cell>
          <cell r="F122" t="str">
            <v>1-5</v>
          </cell>
          <cell r="G122">
            <v>30145683</v>
          </cell>
          <cell r="H122" t="str">
            <v>Dak Sevak</v>
          </cell>
          <cell r="I122">
            <v>119</v>
          </cell>
          <cell r="J122" t="str">
            <v>Gramin Dak Sevaks</v>
          </cell>
          <cell r="K122">
            <v>29661924</v>
          </cell>
          <cell r="L122" t="str">
            <v>Karur West S.O</v>
          </cell>
          <cell r="M122" t="str">
            <v>Dak Sevak, Karur West S.O</v>
          </cell>
          <cell r="N122" t="str">
            <v>ABCPD1234E</v>
          </cell>
          <cell r="O122">
            <v>36667.000115740739</v>
          </cell>
          <cell r="P122">
            <v>44258.000115740739</v>
          </cell>
          <cell r="Q122" t="str">
            <v>010002571255</v>
          </cell>
        </row>
        <row r="123">
          <cell r="C123">
            <v>50506970</v>
          </cell>
          <cell r="D123" t="str">
            <v>MONISHA  S</v>
          </cell>
          <cell r="E123" t="str">
            <v>Female</v>
          </cell>
          <cell r="F123" t="str">
            <v>1-4</v>
          </cell>
          <cell r="G123">
            <v>30145749</v>
          </cell>
          <cell r="H123" t="str">
            <v>BPM</v>
          </cell>
          <cell r="I123">
            <v>119</v>
          </cell>
          <cell r="J123" t="str">
            <v>Gramin Dak Sevaks</v>
          </cell>
          <cell r="K123">
            <v>29106890</v>
          </cell>
          <cell r="L123" t="str">
            <v>Nedungur B.O</v>
          </cell>
          <cell r="M123" t="str">
            <v>BPM, Nedungur B.O</v>
          </cell>
          <cell r="N123" t="str">
            <v>ABCPD1234E</v>
          </cell>
          <cell r="O123">
            <v>37232.000115740739</v>
          </cell>
          <cell r="P123">
            <v>44279.000115740739</v>
          </cell>
          <cell r="Q123" t="str">
            <v>010003264212</v>
          </cell>
        </row>
        <row r="124">
          <cell r="C124">
            <v>50506971</v>
          </cell>
          <cell r="D124" t="str">
            <v>MOHANA  B</v>
          </cell>
          <cell r="E124" t="str">
            <v>Female</v>
          </cell>
          <cell r="F124" t="str">
            <v>2-4</v>
          </cell>
          <cell r="G124">
            <v>30146037</v>
          </cell>
          <cell r="H124" t="str">
            <v>ABPM</v>
          </cell>
          <cell r="I124">
            <v>119</v>
          </cell>
          <cell r="J124" t="str">
            <v>Gramin Dak Sevaks</v>
          </cell>
          <cell r="K124">
            <v>29107015</v>
          </cell>
          <cell r="L124" t="str">
            <v>Vettamangalam B.O</v>
          </cell>
          <cell r="M124" t="str">
            <v>ABPM, Vettamangalam B.O</v>
          </cell>
          <cell r="N124" t="str">
            <v>FZOPM7588B</v>
          </cell>
          <cell r="O124">
            <v>36440.000115740739</v>
          </cell>
          <cell r="P124">
            <v>44279.000115740739</v>
          </cell>
          <cell r="Q124" t="str">
            <v>010003331883</v>
          </cell>
        </row>
        <row r="125">
          <cell r="C125">
            <v>50506972</v>
          </cell>
          <cell r="D125" t="str">
            <v>DHIVYA  R C</v>
          </cell>
          <cell r="E125" t="str">
            <v>Female</v>
          </cell>
          <cell r="F125" t="str">
            <v>1-5</v>
          </cell>
          <cell r="G125">
            <v>30145703</v>
          </cell>
          <cell r="H125" t="str">
            <v>Dak Sevak</v>
          </cell>
          <cell r="I125">
            <v>119</v>
          </cell>
          <cell r="J125" t="str">
            <v>Gramin Dak Sevaks</v>
          </cell>
          <cell r="K125">
            <v>29661933</v>
          </cell>
          <cell r="L125" t="str">
            <v>Moolapatti S.O</v>
          </cell>
          <cell r="M125" t="str">
            <v>Dak Sevak, Moolapatti S.O</v>
          </cell>
          <cell r="N125" t="str">
            <v>GRWPD1304P</v>
          </cell>
          <cell r="O125">
            <v>37128.000115740739</v>
          </cell>
          <cell r="P125">
            <v>44279.000115740739</v>
          </cell>
          <cell r="Q125" t="str">
            <v>010003279316</v>
          </cell>
        </row>
        <row r="126">
          <cell r="C126">
            <v>50506973</v>
          </cell>
          <cell r="D126" t="str">
            <v>PAVITHRA  K</v>
          </cell>
          <cell r="E126" t="str">
            <v>Female</v>
          </cell>
          <cell r="F126" t="str">
            <v>2-4</v>
          </cell>
          <cell r="G126">
            <v>30145742</v>
          </cell>
          <cell r="H126" t="str">
            <v>ABPM</v>
          </cell>
          <cell r="I126">
            <v>119</v>
          </cell>
          <cell r="J126" t="str">
            <v>Gramin Dak Sevaks</v>
          </cell>
          <cell r="K126">
            <v>29106826</v>
          </cell>
          <cell r="L126" t="str">
            <v>Kottapatti B.O</v>
          </cell>
          <cell r="M126" t="str">
            <v>ABPM, Kottapatti B.O</v>
          </cell>
          <cell r="N126" t="str">
            <v>FWNPP5464H</v>
          </cell>
          <cell r="O126">
            <v>36577.000115740739</v>
          </cell>
          <cell r="P126">
            <v>44279.000115740739</v>
          </cell>
          <cell r="Q126" t="str">
            <v>010003164082</v>
          </cell>
        </row>
        <row r="127">
          <cell r="C127">
            <v>50506974</v>
          </cell>
          <cell r="D127" t="str">
            <v>RESHMA  S</v>
          </cell>
          <cell r="E127" t="str">
            <v>Female</v>
          </cell>
          <cell r="F127" t="str">
            <v>2-4</v>
          </cell>
          <cell r="G127">
            <v>30145686</v>
          </cell>
          <cell r="H127" t="str">
            <v>ABPM</v>
          </cell>
          <cell r="I127">
            <v>119</v>
          </cell>
          <cell r="J127" t="str">
            <v>Gramin Dak Sevaks</v>
          </cell>
          <cell r="K127">
            <v>29106770</v>
          </cell>
          <cell r="L127" t="str">
            <v>Emur B.O</v>
          </cell>
          <cell r="M127" t="str">
            <v>ABPM, Emur B.O</v>
          </cell>
          <cell r="N127" t="str">
            <v>DRFPR2850L</v>
          </cell>
          <cell r="O127">
            <v>36390.000115740739</v>
          </cell>
          <cell r="P127">
            <v>44279.000115740739</v>
          </cell>
          <cell r="Q127" t="str">
            <v>010003160478</v>
          </cell>
        </row>
        <row r="128">
          <cell r="C128">
            <v>50506975</v>
          </cell>
          <cell r="D128" t="str">
            <v>KAVIYA PRIYA  S</v>
          </cell>
          <cell r="E128" t="str">
            <v>Female</v>
          </cell>
          <cell r="F128" t="str">
            <v>2-4</v>
          </cell>
          <cell r="G128">
            <v>30225033</v>
          </cell>
          <cell r="H128" t="str">
            <v>Dak Sevak</v>
          </cell>
          <cell r="I128">
            <v>119</v>
          </cell>
          <cell r="J128" t="str">
            <v>Gramin Dak Sevaks</v>
          </cell>
          <cell r="K128">
            <v>29661922</v>
          </cell>
          <cell r="L128" t="str">
            <v>Kagtithapuram S.O</v>
          </cell>
          <cell r="M128" t="str">
            <v>Dak Sevak, Kagtithapuram S.O</v>
          </cell>
          <cell r="N128" t="str">
            <v>ABCPD1234E</v>
          </cell>
          <cell r="O128">
            <v>36492.000115740739</v>
          </cell>
          <cell r="P128">
            <v>44279.000115740739</v>
          </cell>
          <cell r="Q128" t="str">
            <v>010003364022</v>
          </cell>
        </row>
        <row r="129">
          <cell r="C129">
            <v>50514941</v>
          </cell>
          <cell r="D129" t="str">
            <v>GAYATHRI  PITCHAI</v>
          </cell>
          <cell r="E129" t="str">
            <v>Female</v>
          </cell>
          <cell r="F129" t="str">
            <v>1-5</v>
          </cell>
          <cell r="G129">
            <v>30145797</v>
          </cell>
          <cell r="H129" t="str">
            <v>Dak Sevak</v>
          </cell>
          <cell r="I129">
            <v>119</v>
          </cell>
          <cell r="J129" t="str">
            <v>Gramin Dak Sevaks</v>
          </cell>
          <cell r="K129">
            <v>29661915</v>
          </cell>
          <cell r="L129" t="str">
            <v>Andankoil S.O</v>
          </cell>
          <cell r="M129" t="str">
            <v>Dak Sevak, Andankoil S.O</v>
          </cell>
          <cell r="N129" t="str">
            <v>BNTPG6752L</v>
          </cell>
          <cell r="O129">
            <v>34402.000115740739</v>
          </cell>
          <cell r="P129">
            <v>44403.000115740739</v>
          </cell>
          <cell r="Q129" t="str">
            <v>010005902695</v>
          </cell>
        </row>
        <row r="130">
          <cell r="C130">
            <v>50515476</v>
          </cell>
          <cell r="D130" t="str">
            <v>ESWARI  S</v>
          </cell>
          <cell r="E130" t="str">
            <v>Female</v>
          </cell>
          <cell r="F130" t="str">
            <v>2-4</v>
          </cell>
          <cell r="G130">
            <v>30145936</v>
          </cell>
          <cell r="H130" t="str">
            <v>BPM</v>
          </cell>
          <cell r="I130">
            <v>119</v>
          </cell>
          <cell r="J130" t="str">
            <v>Gramin Dak Sevaks</v>
          </cell>
          <cell r="K130">
            <v>29106788</v>
          </cell>
          <cell r="L130" t="str">
            <v>Kakkavadi B.O</v>
          </cell>
          <cell r="M130" t="str">
            <v>BPM, Kakkavadi B.O</v>
          </cell>
          <cell r="N130" t="str">
            <v>AFEPE3338Q</v>
          </cell>
          <cell r="O130">
            <v>36694.000115740739</v>
          </cell>
          <cell r="P130">
            <v>44405.000115740739</v>
          </cell>
          <cell r="Q130" t="str">
            <v>010006477521</v>
          </cell>
        </row>
        <row r="131">
          <cell r="C131">
            <v>50516015</v>
          </cell>
          <cell r="D131" t="str">
            <v>DHIVYA  J</v>
          </cell>
          <cell r="E131" t="str">
            <v>Female</v>
          </cell>
          <cell r="F131" t="str">
            <v>2-4</v>
          </cell>
          <cell r="G131">
            <v>30145629</v>
          </cell>
          <cell r="H131" t="str">
            <v>ABPM</v>
          </cell>
          <cell r="I131">
            <v>119</v>
          </cell>
          <cell r="J131" t="str">
            <v>Gramin Dak Sevaks</v>
          </cell>
          <cell r="K131">
            <v>29106914</v>
          </cell>
          <cell r="L131" t="str">
            <v>Pavithram B.O</v>
          </cell>
          <cell r="M131" t="str">
            <v>ABPM, Pavithram B.O</v>
          </cell>
          <cell r="N131" t="str">
            <v>GXFPD5878B</v>
          </cell>
          <cell r="O131">
            <v>36855.000115740739</v>
          </cell>
          <cell r="P131">
            <v>44403.000115740739</v>
          </cell>
          <cell r="Q131" t="str">
            <v>010005987989</v>
          </cell>
        </row>
        <row r="132">
          <cell r="C132">
            <v>50516088</v>
          </cell>
          <cell r="D132" t="str">
            <v>ABINA  T N</v>
          </cell>
          <cell r="E132" t="str">
            <v>Female</v>
          </cell>
          <cell r="F132" t="str">
            <v>2-4</v>
          </cell>
          <cell r="G132">
            <v>30225203</v>
          </cell>
          <cell r="H132" t="str">
            <v>BPM</v>
          </cell>
          <cell r="I132">
            <v>119</v>
          </cell>
          <cell r="J132" t="str">
            <v>Gramin Dak Sevaks</v>
          </cell>
          <cell r="K132">
            <v>29106952</v>
          </cell>
          <cell r="L132" t="str">
            <v>S.Vellalapatti B.O</v>
          </cell>
          <cell r="M132" t="str">
            <v>BPM, S.Vellalapatti B.O</v>
          </cell>
          <cell r="N132" t="str">
            <v>ATPPA9310H</v>
          </cell>
          <cell r="O132">
            <v>32346.000115740742</v>
          </cell>
          <cell r="P132">
            <v>44419.000115740739</v>
          </cell>
          <cell r="Q132" t="str">
            <v>1798359479</v>
          </cell>
        </row>
        <row r="133">
          <cell r="C133">
            <v>50516089</v>
          </cell>
          <cell r="D133" t="str">
            <v>AMUTHA  P</v>
          </cell>
          <cell r="E133" t="str">
            <v>Female</v>
          </cell>
          <cell r="F133" t="str">
            <v>2-4</v>
          </cell>
          <cell r="G133">
            <v>30145963</v>
          </cell>
          <cell r="H133" t="str">
            <v>BPM</v>
          </cell>
          <cell r="I133">
            <v>119</v>
          </cell>
          <cell r="J133" t="str">
            <v>Gramin Dak Sevaks</v>
          </cell>
          <cell r="K133">
            <v>29106939</v>
          </cell>
          <cell r="L133" t="str">
            <v>Punnam B.O</v>
          </cell>
          <cell r="M133" t="str">
            <v>BPM, Punnam B.O</v>
          </cell>
          <cell r="N133" t="str">
            <v>ABCPD1234E</v>
          </cell>
          <cell r="O133">
            <v>37225.000115740739</v>
          </cell>
          <cell r="P133">
            <v>44419.000115740739</v>
          </cell>
          <cell r="Q133" t="str">
            <v>4876104664</v>
          </cell>
        </row>
        <row r="134">
          <cell r="C134">
            <v>50516914</v>
          </cell>
          <cell r="D134" t="str">
            <v>MERCY  APPADURAI</v>
          </cell>
          <cell r="E134" t="str">
            <v>Female</v>
          </cell>
          <cell r="F134" t="str">
            <v>1-5</v>
          </cell>
          <cell r="G134">
            <v>30145815</v>
          </cell>
          <cell r="H134" t="str">
            <v>BPM</v>
          </cell>
          <cell r="I134">
            <v>119</v>
          </cell>
          <cell r="J134" t="str">
            <v>Gramin Dak Sevaks</v>
          </cell>
          <cell r="K134">
            <v>29106749</v>
          </cell>
          <cell r="L134" t="str">
            <v>Arikkaranvalasu B.O</v>
          </cell>
          <cell r="M134" t="str">
            <v>BPM, Arikkaranvalasu B.O</v>
          </cell>
          <cell r="N134" t="str">
            <v>ESYPM1278J</v>
          </cell>
          <cell r="O134">
            <v>36454.000115740739</v>
          </cell>
          <cell r="P134">
            <v>44438.000115740739</v>
          </cell>
          <cell r="Q134" t="str">
            <v>010007138727</v>
          </cell>
        </row>
        <row r="135">
          <cell r="C135">
            <v>50517767</v>
          </cell>
          <cell r="D135" t="str">
            <v>SIRANJEEVI  M</v>
          </cell>
          <cell r="E135" t="str">
            <v>Male</v>
          </cell>
          <cell r="F135" t="str">
            <v>1-4</v>
          </cell>
          <cell r="G135">
            <v>30145952</v>
          </cell>
          <cell r="H135" t="str">
            <v>GDS Mail Carrier</v>
          </cell>
          <cell r="I135">
            <v>119</v>
          </cell>
          <cell r="J135" t="str">
            <v>Gramin Dak Sevaks</v>
          </cell>
          <cell r="K135">
            <v>29106864</v>
          </cell>
          <cell r="L135" t="str">
            <v>Monjanur B.O</v>
          </cell>
          <cell r="M135" t="str">
            <v>GDS Mail Carrier, Monjanur B.O</v>
          </cell>
          <cell r="N135" t="str">
            <v>FBHPS7107F</v>
          </cell>
          <cell r="O135">
            <v>35208.000115740739</v>
          </cell>
          <cell r="P135">
            <v>44404.000115740739</v>
          </cell>
          <cell r="Q135" t="str">
            <v>010005743647</v>
          </cell>
        </row>
        <row r="136">
          <cell r="C136">
            <v>50518569</v>
          </cell>
          <cell r="D136" t="str">
            <v>MANI  R</v>
          </cell>
          <cell r="E136" t="str">
            <v>Male</v>
          </cell>
          <cell r="F136" t="str">
            <v>1-12</v>
          </cell>
          <cell r="G136">
            <v>30145680</v>
          </cell>
          <cell r="H136" t="str">
            <v>Dak Sevak</v>
          </cell>
          <cell r="I136">
            <v>119</v>
          </cell>
          <cell r="J136" t="str">
            <v>Gramin Dak Sevaks</v>
          </cell>
          <cell r="K136">
            <v>29661921</v>
          </cell>
          <cell r="L136" t="str">
            <v>Isanatham S.O</v>
          </cell>
          <cell r="M136" t="str">
            <v>Dak Sevak, Isanatham S.O</v>
          </cell>
          <cell r="N136" t="str">
            <v>ABCPD1234E</v>
          </cell>
          <cell r="O136">
            <v>23261.000115740742</v>
          </cell>
          <cell r="P136">
            <v>29923.000115740742</v>
          </cell>
          <cell r="Q136" t="str">
            <v>2341800707</v>
          </cell>
        </row>
        <row r="137">
          <cell r="C137">
            <v>50519652</v>
          </cell>
          <cell r="D137" t="str">
            <v>VIGNESH  M</v>
          </cell>
          <cell r="E137" t="str">
            <v>Male</v>
          </cell>
          <cell r="F137" t="str">
            <v>2-4</v>
          </cell>
          <cell r="G137">
            <v>30145589</v>
          </cell>
          <cell r="H137" t="str">
            <v>ABPM</v>
          </cell>
          <cell r="I137">
            <v>119</v>
          </cell>
          <cell r="J137" t="str">
            <v>Gramin Dak Sevaks</v>
          </cell>
          <cell r="K137">
            <v>29106760</v>
          </cell>
          <cell r="L137" t="str">
            <v>Chinnavangalampalayam B.O</v>
          </cell>
          <cell r="M137" t="str">
            <v>ABPM, Chinnavangalampalayam B.O</v>
          </cell>
          <cell r="N137" t="str">
            <v>EKAPM6413F</v>
          </cell>
          <cell r="O137">
            <v>35220.000115740739</v>
          </cell>
          <cell r="P137">
            <v>44480.000115740739</v>
          </cell>
          <cell r="Q137" t="str">
            <v>4562146961</v>
          </cell>
        </row>
        <row r="138">
          <cell r="C138">
            <v>50520102</v>
          </cell>
          <cell r="D138" t="str">
            <v>SUGANTHI  M</v>
          </cell>
          <cell r="E138" t="str">
            <v>Female</v>
          </cell>
          <cell r="F138" t="str">
            <v>1-4</v>
          </cell>
          <cell r="G138">
            <v>30145989</v>
          </cell>
          <cell r="H138" t="str">
            <v>BPM</v>
          </cell>
          <cell r="I138">
            <v>119</v>
          </cell>
          <cell r="J138" t="str">
            <v>Gramin Dak Sevaks</v>
          </cell>
          <cell r="K138">
            <v>29106872</v>
          </cell>
          <cell r="L138" t="str">
            <v>Muthanampalayam B.O</v>
          </cell>
          <cell r="M138" t="str">
            <v>BPM, Muthanampalayam B.O</v>
          </cell>
          <cell r="N138" t="str">
            <v>NEAPS1898F</v>
          </cell>
          <cell r="O138">
            <v>37449.000115740739</v>
          </cell>
          <cell r="P138">
            <v>44487.000115740739</v>
          </cell>
          <cell r="Q138" t="str">
            <v>010009164040</v>
          </cell>
        </row>
        <row r="139">
          <cell r="C139">
            <v>50527395</v>
          </cell>
          <cell r="D139" t="str">
            <v>SESURAJ  L</v>
          </cell>
          <cell r="E139" t="str">
            <v>Male</v>
          </cell>
          <cell r="F139" t="str">
            <v>2-4</v>
          </cell>
          <cell r="G139">
            <v>30205483</v>
          </cell>
          <cell r="H139" t="str">
            <v>Dak Sevak</v>
          </cell>
          <cell r="I139">
            <v>119</v>
          </cell>
          <cell r="J139" t="str">
            <v>Gramin Dak Sevaks</v>
          </cell>
          <cell r="K139">
            <v>29360072</v>
          </cell>
          <cell r="L139" t="str">
            <v>Karur H.O</v>
          </cell>
          <cell r="M139" t="str">
            <v>Dak Sevak, Karur H.O</v>
          </cell>
          <cell r="N139" t="str">
            <v>OLJPS0097H</v>
          </cell>
          <cell r="O139">
            <v>35205.000115740739</v>
          </cell>
          <cell r="P139">
            <v>44641.000115740739</v>
          </cell>
          <cell r="Q139" t="str">
            <v>3426958450</v>
          </cell>
        </row>
        <row r="140">
          <cell r="C140">
            <v>50534333</v>
          </cell>
          <cell r="D140" t="str">
            <v xml:space="preserve">Vaishnavi M </v>
          </cell>
          <cell r="E140" t="str">
            <v>Female</v>
          </cell>
          <cell r="F140" t="str">
            <v>1-4</v>
          </cell>
          <cell r="G140">
            <v>30224965</v>
          </cell>
          <cell r="H140" t="str">
            <v>BPM</v>
          </cell>
          <cell r="I140">
            <v>119</v>
          </cell>
          <cell r="J140" t="str">
            <v>Gramin Dak Sevaks</v>
          </cell>
          <cell r="K140">
            <v>29106951</v>
          </cell>
          <cell r="L140" t="str">
            <v>Rengapalayam B.O</v>
          </cell>
          <cell r="M140" t="str">
            <v>BPM, Rengapalayam B.O</v>
          </cell>
          <cell r="N140" t="str">
            <v>ABCPD1234E</v>
          </cell>
          <cell r="O140">
            <v>37008.000115740739</v>
          </cell>
          <cell r="P140">
            <v>44775.000115740739</v>
          </cell>
          <cell r="Q140" t="str">
            <v>010018448143</v>
          </cell>
        </row>
        <row r="141">
          <cell r="C141">
            <v>50535387</v>
          </cell>
          <cell r="D141" t="str">
            <v>SRI GAYATHRI  S</v>
          </cell>
          <cell r="E141" t="str">
            <v>Female</v>
          </cell>
          <cell r="F141" t="str">
            <v>2-4</v>
          </cell>
          <cell r="G141">
            <v>30225236</v>
          </cell>
          <cell r="H141" t="str">
            <v>BPM</v>
          </cell>
          <cell r="I141">
            <v>119</v>
          </cell>
          <cell r="J141" t="str">
            <v>Gramin Dak Sevaks</v>
          </cell>
          <cell r="K141">
            <v>29106829</v>
          </cell>
          <cell r="L141" t="str">
            <v>Koyampalli B.O</v>
          </cell>
          <cell r="M141" t="str">
            <v>BPM, Koyampalli B.O</v>
          </cell>
          <cell r="N141" t="str">
            <v>LSEPS3243N</v>
          </cell>
          <cell r="O141">
            <v>36753.000115740739</v>
          </cell>
          <cell r="P141">
            <v>44779.000115740739</v>
          </cell>
          <cell r="Q141" t="str">
            <v>010018582154</v>
          </cell>
        </row>
        <row r="142">
          <cell r="C142">
            <v>50535389</v>
          </cell>
          <cell r="D142" t="str">
            <v>PREETHA  M</v>
          </cell>
          <cell r="E142" t="str">
            <v>Female</v>
          </cell>
          <cell r="F142" t="str">
            <v>1-4</v>
          </cell>
          <cell r="G142">
            <v>30145772</v>
          </cell>
          <cell r="H142" t="str">
            <v>BPM</v>
          </cell>
          <cell r="I142">
            <v>119</v>
          </cell>
          <cell r="J142" t="str">
            <v>Gramin Dak Sevaks</v>
          </cell>
          <cell r="K142">
            <v>29106887</v>
          </cell>
          <cell r="L142" t="str">
            <v>Nanjaipugalur B.O</v>
          </cell>
          <cell r="M142" t="str">
            <v>BPM, Nanjaipugalur B.O</v>
          </cell>
          <cell r="N142" t="str">
            <v>ABCPD1234E</v>
          </cell>
          <cell r="O142">
            <v>36395.000115740739</v>
          </cell>
          <cell r="P142">
            <v>44779.000115740739</v>
          </cell>
          <cell r="Q142" t="str">
            <v>010018483085</v>
          </cell>
        </row>
        <row r="143">
          <cell r="C143">
            <v>50535392</v>
          </cell>
          <cell r="D143" t="str">
            <v>THILAKA  K</v>
          </cell>
          <cell r="E143" t="str">
            <v>Female</v>
          </cell>
          <cell r="F143" t="str">
            <v>1-4</v>
          </cell>
          <cell r="G143">
            <v>30145830</v>
          </cell>
          <cell r="H143" t="str">
            <v>BPM</v>
          </cell>
          <cell r="I143">
            <v>119</v>
          </cell>
          <cell r="J143" t="str">
            <v>Gramin Dak Sevaks</v>
          </cell>
          <cell r="K143">
            <v>29106828</v>
          </cell>
          <cell r="L143" t="str">
            <v>Kovilur B.O</v>
          </cell>
          <cell r="M143" t="str">
            <v>BPM, Kovilur B.O</v>
          </cell>
          <cell r="N143" t="str">
            <v>BMRPT5015Q</v>
          </cell>
          <cell r="O143">
            <v>36891.000115740739</v>
          </cell>
          <cell r="P143">
            <v>44779.000115740739</v>
          </cell>
          <cell r="Q143" t="str">
            <v>010018554366</v>
          </cell>
        </row>
        <row r="144">
          <cell r="C144">
            <v>50535394</v>
          </cell>
          <cell r="D144" t="str">
            <v>KARTHICKEYAN  K R</v>
          </cell>
          <cell r="E144" t="str">
            <v>Male</v>
          </cell>
          <cell r="F144" t="str">
            <v>2-4</v>
          </cell>
          <cell r="G144">
            <v>30145702</v>
          </cell>
          <cell r="H144" t="str">
            <v>ABPM</v>
          </cell>
          <cell r="I144">
            <v>119</v>
          </cell>
          <cell r="J144" t="str">
            <v>Gramin Dak Sevaks</v>
          </cell>
          <cell r="K144">
            <v>29106944</v>
          </cell>
          <cell r="L144" t="str">
            <v>Rajapuram B.O</v>
          </cell>
          <cell r="M144" t="str">
            <v>ABPM, Rajapuram B.O</v>
          </cell>
          <cell r="N144" t="str">
            <v>HIMPK3662R</v>
          </cell>
          <cell r="O144">
            <v>36487.000115740739</v>
          </cell>
          <cell r="P144">
            <v>44779.000115740739</v>
          </cell>
          <cell r="Q144" t="str">
            <v>010018440612</v>
          </cell>
        </row>
        <row r="145">
          <cell r="C145">
            <v>50535395</v>
          </cell>
          <cell r="D145" t="str">
            <v>VASANTH  N</v>
          </cell>
          <cell r="E145" t="str">
            <v>Male</v>
          </cell>
          <cell r="F145" t="str">
            <v>1-4</v>
          </cell>
          <cell r="G145">
            <v>30145874</v>
          </cell>
          <cell r="H145" t="str">
            <v>ABPM</v>
          </cell>
          <cell r="I145">
            <v>119</v>
          </cell>
          <cell r="J145" t="str">
            <v>Gramin Dak Sevaks</v>
          </cell>
          <cell r="K145">
            <v>29106905</v>
          </cell>
          <cell r="L145" t="str">
            <v>Pallapalayam B.O</v>
          </cell>
          <cell r="M145" t="str">
            <v>ABPM, Pallapalayam B.O</v>
          </cell>
          <cell r="N145" t="str">
            <v>CBMPV3712R</v>
          </cell>
          <cell r="O145">
            <v>37278.000115740739</v>
          </cell>
          <cell r="P145">
            <v>44779.000115740739</v>
          </cell>
          <cell r="Q145" t="str">
            <v>010018602819</v>
          </cell>
        </row>
        <row r="146">
          <cell r="C146">
            <v>50535396</v>
          </cell>
          <cell r="D146" t="str">
            <v>KARTHIKA  T S</v>
          </cell>
          <cell r="E146" t="str">
            <v>Female</v>
          </cell>
          <cell r="F146" t="str">
            <v>2-4</v>
          </cell>
          <cell r="G146">
            <v>30145964</v>
          </cell>
          <cell r="H146" t="str">
            <v>BPM</v>
          </cell>
          <cell r="I146">
            <v>119</v>
          </cell>
          <cell r="J146" t="str">
            <v>Gramin Dak Sevaks</v>
          </cell>
          <cell r="K146">
            <v>29106941</v>
          </cell>
          <cell r="L146" t="str">
            <v>Puthambur B.O</v>
          </cell>
          <cell r="M146" t="str">
            <v>BPM, Puthambur B.O</v>
          </cell>
          <cell r="N146" t="str">
            <v>MGNPK0037J</v>
          </cell>
          <cell r="O146">
            <v>36615.000115740739</v>
          </cell>
          <cell r="P146">
            <v>44779.000115740739</v>
          </cell>
          <cell r="Q146" t="str">
            <v>010018798630</v>
          </cell>
        </row>
        <row r="147">
          <cell r="C147">
            <v>50535397</v>
          </cell>
          <cell r="D147" t="str">
            <v>MANOJKUMAR  D</v>
          </cell>
          <cell r="E147" t="str">
            <v>Male</v>
          </cell>
          <cell r="F147" t="str">
            <v>2-4</v>
          </cell>
          <cell r="G147">
            <v>30146115</v>
          </cell>
          <cell r="H147" t="str">
            <v>ABPM</v>
          </cell>
          <cell r="I147">
            <v>119</v>
          </cell>
          <cell r="J147" t="str">
            <v>Gramin Dak Sevaks</v>
          </cell>
          <cell r="K147">
            <v>29106881</v>
          </cell>
          <cell r="L147" t="str">
            <v>Nagampalli B.O</v>
          </cell>
          <cell r="M147" t="str">
            <v>ABPM, Nagampalli B.O</v>
          </cell>
          <cell r="N147" t="str">
            <v>GHUPM2996E</v>
          </cell>
          <cell r="O147">
            <v>35736.000115740739</v>
          </cell>
          <cell r="P147">
            <v>44779.000115740739</v>
          </cell>
          <cell r="Q147" t="str">
            <v>010018508987</v>
          </cell>
        </row>
        <row r="148">
          <cell r="C148">
            <v>50535399</v>
          </cell>
          <cell r="D148" t="str">
            <v>MOHANRAJ  R</v>
          </cell>
          <cell r="E148" t="str">
            <v>Male</v>
          </cell>
          <cell r="F148" t="str">
            <v>1-4</v>
          </cell>
          <cell r="G148">
            <v>30145939</v>
          </cell>
          <cell r="H148" t="str">
            <v>BPM</v>
          </cell>
          <cell r="I148">
            <v>119</v>
          </cell>
          <cell r="J148" t="str">
            <v>Gramin Dak Sevaks</v>
          </cell>
          <cell r="K148">
            <v>29106757</v>
          </cell>
          <cell r="L148" t="str">
            <v>Chinnakariyampatti B.O</v>
          </cell>
          <cell r="M148" t="str">
            <v>BPM, Chinnakariyampatti B.O</v>
          </cell>
          <cell r="N148" t="str">
            <v>EWNPR6406Q</v>
          </cell>
          <cell r="O148">
            <v>36139.000115740739</v>
          </cell>
          <cell r="P148">
            <v>44779.000115740739</v>
          </cell>
          <cell r="Q148" t="str">
            <v>4218800711</v>
          </cell>
        </row>
        <row r="149">
          <cell r="C149">
            <v>50535498</v>
          </cell>
          <cell r="D149" t="str">
            <v xml:space="preserve">MOUNIHA B  </v>
          </cell>
          <cell r="E149" t="str">
            <v>Female</v>
          </cell>
          <cell r="F149" t="str">
            <v>1-4</v>
          </cell>
          <cell r="G149">
            <v>30146028</v>
          </cell>
          <cell r="H149" t="str">
            <v>BPM</v>
          </cell>
          <cell r="I149">
            <v>119</v>
          </cell>
          <cell r="J149" t="str">
            <v>Gramin Dak Sevaks</v>
          </cell>
          <cell r="K149">
            <v>29106769</v>
          </cell>
          <cell r="L149" t="str">
            <v>Elavanur B.O</v>
          </cell>
          <cell r="M149" t="str">
            <v>BPM, Elavanur B.O</v>
          </cell>
          <cell r="N149" t="str">
            <v>GEMPM7951E</v>
          </cell>
          <cell r="O149">
            <v>36320.000115740739</v>
          </cell>
          <cell r="P149">
            <v>44779.000115740739</v>
          </cell>
          <cell r="Q149" t="str">
            <v>010018563476</v>
          </cell>
        </row>
        <row r="150">
          <cell r="C150">
            <v>50535499</v>
          </cell>
          <cell r="D150" t="str">
            <v xml:space="preserve">SABARINATHAN S  </v>
          </cell>
          <cell r="E150" t="str">
            <v>Male</v>
          </cell>
          <cell r="F150" t="str">
            <v>2-4</v>
          </cell>
          <cell r="G150">
            <v>30145715</v>
          </cell>
          <cell r="H150" t="str">
            <v>Dak Sevak</v>
          </cell>
          <cell r="I150">
            <v>119</v>
          </cell>
          <cell r="J150" t="str">
            <v>Gramin Dak Sevaks</v>
          </cell>
          <cell r="K150">
            <v>29661942</v>
          </cell>
          <cell r="L150" t="str">
            <v>Puliyur Cement Factory S.O</v>
          </cell>
          <cell r="M150" t="str">
            <v>Dak Sevak, Puliyur Cement Factory S.O</v>
          </cell>
          <cell r="N150" t="str">
            <v>MBXPS9216A</v>
          </cell>
          <cell r="O150">
            <v>35952.000115740739</v>
          </cell>
          <cell r="P150">
            <v>44779.000115740739</v>
          </cell>
          <cell r="Q150" t="str">
            <v>010013398491</v>
          </cell>
        </row>
        <row r="151">
          <cell r="C151">
            <v>50535509</v>
          </cell>
          <cell r="D151" t="str">
            <v xml:space="preserve">JEEVAN KUMAR D  </v>
          </cell>
          <cell r="E151" t="str">
            <v>Male</v>
          </cell>
          <cell r="F151" t="str">
            <v>2-4</v>
          </cell>
          <cell r="G151">
            <v>30145910</v>
          </cell>
          <cell r="H151" t="str">
            <v>ABPM</v>
          </cell>
          <cell r="I151">
            <v>119</v>
          </cell>
          <cell r="J151" t="str">
            <v>Gramin Dak Sevaks</v>
          </cell>
          <cell r="K151">
            <v>29106886</v>
          </cell>
          <cell r="L151" t="str">
            <v>Nanjaikalakurichi B.O</v>
          </cell>
          <cell r="M151" t="str">
            <v>ABPM, Nanjaikalakurichi B.O</v>
          </cell>
          <cell r="N151" t="str">
            <v>BUYPJ7792K</v>
          </cell>
          <cell r="O151">
            <v>36505.000115740739</v>
          </cell>
          <cell r="P151">
            <v>44779.000115740739</v>
          </cell>
          <cell r="Q151" t="str">
            <v>010018572096</v>
          </cell>
        </row>
        <row r="152">
          <cell r="C152">
            <v>50536110</v>
          </cell>
          <cell r="D152" t="str">
            <v>SALINI  SARAVANAN</v>
          </cell>
          <cell r="E152" t="str">
            <v>Female</v>
          </cell>
          <cell r="F152" t="str">
            <v>1-4</v>
          </cell>
          <cell r="G152">
            <v>30146092</v>
          </cell>
          <cell r="H152" t="str">
            <v>ABPM</v>
          </cell>
          <cell r="I152">
            <v>119</v>
          </cell>
          <cell r="J152" t="str">
            <v>Gramin Dak Sevaks</v>
          </cell>
          <cell r="K152">
            <v>29106864</v>
          </cell>
          <cell r="L152" t="str">
            <v>Monjanur B.O</v>
          </cell>
          <cell r="M152" t="str">
            <v>ABPM, Monjanur B.O</v>
          </cell>
          <cell r="N152" t="str">
            <v>PWSPS2081E</v>
          </cell>
          <cell r="O152">
            <v>36684.000115740739</v>
          </cell>
          <cell r="P152">
            <v>44770.000115740739</v>
          </cell>
          <cell r="Q152" t="str">
            <v>010018710323</v>
          </cell>
        </row>
        <row r="153">
          <cell r="C153">
            <v>50538663</v>
          </cell>
          <cell r="D153" t="str">
            <v>VASUKI  P</v>
          </cell>
          <cell r="E153" t="str">
            <v>Female</v>
          </cell>
          <cell r="F153" t="str">
            <v>2-4</v>
          </cell>
          <cell r="G153">
            <v>30225421</v>
          </cell>
          <cell r="H153" t="str">
            <v>ABPM</v>
          </cell>
          <cell r="I153">
            <v>119</v>
          </cell>
          <cell r="J153" t="str">
            <v>Gramin Dak Sevaks</v>
          </cell>
          <cell r="K153">
            <v>29106879</v>
          </cell>
          <cell r="L153" t="str">
            <v>Nadayanur B.O</v>
          </cell>
          <cell r="M153" t="str">
            <v>ABPM, Nadayanur B.O</v>
          </cell>
          <cell r="N153" t="str">
            <v>ABCPD1234E</v>
          </cell>
          <cell r="O153">
            <v>35859.000115740739</v>
          </cell>
          <cell r="P153">
            <v>44792.000115740739</v>
          </cell>
          <cell r="Q153" t="str">
            <v>010018867359</v>
          </cell>
        </row>
        <row r="154">
          <cell r="C154">
            <v>50538664</v>
          </cell>
          <cell r="D154" t="str">
            <v>SHALINI  M</v>
          </cell>
          <cell r="E154" t="str">
            <v>Female</v>
          </cell>
          <cell r="F154" t="str">
            <v>1-4</v>
          </cell>
          <cell r="G154">
            <v>30225042</v>
          </cell>
          <cell r="H154" t="str">
            <v>BPM</v>
          </cell>
          <cell r="I154">
            <v>119</v>
          </cell>
          <cell r="J154" t="str">
            <v>Gramin Dak Sevaks</v>
          </cell>
          <cell r="K154">
            <v>29106839</v>
          </cell>
          <cell r="L154" t="str">
            <v>Kurikkaranvalasu B.O</v>
          </cell>
          <cell r="M154" t="str">
            <v>BPM, Kurikkaranvalasu B.O</v>
          </cell>
          <cell r="N154" t="str">
            <v>MZEPS7681E</v>
          </cell>
          <cell r="O154">
            <v>37207.000115740739</v>
          </cell>
          <cell r="P154">
            <v>44792.000115740739</v>
          </cell>
          <cell r="Q154" t="str">
            <v>010018794911</v>
          </cell>
        </row>
        <row r="155">
          <cell r="C155">
            <v>50547965</v>
          </cell>
          <cell r="D155" t="str">
            <v xml:space="preserve">SATHISHKUMAR M  </v>
          </cell>
          <cell r="E155" t="str">
            <v>Male</v>
          </cell>
          <cell r="F155" t="str">
            <v>2-4</v>
          </cell>
          <cell r="G155">
            <v>30225720</v>
          </cell>
          <cell r="H155" t="str">
            <v>ABPM</v>
          </cell>
          <cell r="I155">
            <v>119</v>
          </cell>
          <cell r="J155" t="str">
            <v>Gramin Dak Sevaks</v>
          </cell>
          <cell r="K155">
            <v>29661947</v>
          </cell>
          <cell r="L155" t="str">
            <v>Thanthonimalai S.O</v>
          </cell>
          <cell r="M155" t="str">
            <v>ABPM, Thanthonimalai S.O</v>
          </cell>
          <cell r="N155" t="str">
            <v>NJRPS4716Q</v>
          </cell>
          <cell r="O155">
            <v>36348.000115740739</v>
          </cell>
          <cell r="P155">
            <v>44809.000115740739</v>
          </cell>
          <cell r="Q155" t="str">
            <v>010019934951</v>
          </cell>
        </row>
        <row r="156">
          <cell r="C156">
            <v>50548130</v>
          </cell>
          <cell r="D156" t="str">
            <v>K  RAJESH</v>
          </cell>
          <cell r="E156" t="str">
            <v>Male</v>
          </cell>
          <cell r="F156" t="str">
            <v>1-4</v>
          </cell>
          <cell r="G156">
            <v>30145597</v>
          </cell>
          <cell r="H156" t="str">
            <v>ABPM</v>
          </cell>
          <cell r="I156">
            <v>119</v>
          </cell>
          <cell r="J156" t="str">
            <v>Gramin Dak Sevaks</v>
          </cell>
          <cell r="K156">
            <v>29106785</v>
          </cell>
          <cell r="L156" t="str">
            <v>Kadambankurichi B.O</v>
          </cell>
          <cell r="M156" t="str">
            <v>ABPM, Kadambankurichi B.O</v>
          </cell>
          <cell r="N156" t="str">
            <v>EEWPR2004R</v>
          </cell>
          <cell r="O156">
            <v>35705.000115740739</v>
          </cell>
          <cell r="P156">
            <v>44821.000115740739</v>
          </cell>
          <cell r="Q156" t="str">
            <v>010019587941</v>
          </cell>
        </row>
        <row r="157">
          <cell r="C157">
            <v>50548132</v>
          </cell>
          <cell r="D157" t="str">
            <v>V  GOWTHAM</v>
          </cell>
          <cell r="E157" t="str">
            <v>Male</v>
          </cell>
          <cell r="F157" t="str">
            <v>1-4</v>
          </cell>
          <cell r="G157">
            <v>30146119</v>
          </cell>
          <cell r="H157" t="str">
            <v>ABPM</v>
          </cell>
          <cell r="I157">
            <v>119</v>
          </cell>
          <cell r="J157" t="str">
            <v>Gramin Dak Sevaks</v>
          </cell>
          <cell r="K157">
            <v>29106821</v>
          </cell>
          <cell r="L157" t="str">
            <v>Kodangipatti B.O</v>
          </cell>
          <cell r="M157" t="str">
            <v>ABPM, Kodangipatti B.O</v>
          </cell>
          <cell r="N157" t="str">
            <v>ABCPD1234E</v>
          </cell>
          <cell r="O157">
            <v>36871.000115740739</v>
          </cell>
          <cell r="P157">
            <v>44821.000115740739</v>
          </cell>
          <cell r="Q157" t="str">
            <v>2828702821</v>
          </cell>
        </row>
        <row r="158">
          <cell r="C158">
            <v>50548133</v>
          </cell>
          <cell r="D158" t="str">
            <v>KEERTHI  G</v>
          </cell>
          <cell r="E158" t="str">
            <v>Female</v>
          </cell>
          <cell r="F158" t="str">
            <v>1-4</v>
          </cell>
          <cell r="G158">
            <v>30145663</v>
          </cell>
          <cell r="H158" t="str">
            <v>ABPM</v>
          </cell>
          <cell r="I158">
            <v>119</v>
          </cell>
          <cell r="J158" t="str">
            <v>Gramin Dak Sevaks</v>
          </cell>
          <cell r="K158">
            <v>29106769</v>
          </cell>
          <cell r="L158" t="str">
            <v>Elavanur B.O</v>
          </cell>
          <cell r="M158" t="str">
            <v>ABPM, Elavanur B.O</v>
          </cell>
          <cell r="N158" t="str">
            <v>JHQPK7237H</v>
          </cell>
          <cell r="O158">
            <v>36862.000115740739</v>
          </cell>
          <cell r="P158">
            <v>44821.000115740739</v>
          </cell>
          <cell r="Q158" t="str">
            <v>010019575671</v>
          </cell>
        </row>
        <row r="159">
          <cell r="C159">
            <v>50548134</v>
          </cell>
          <cell r="D159" t="str">
            <v>K  KEERTHANA</v>
          </cell>
          <cell r="E159" t="str">
            <v>Female</v>
          </cell>
          <cell r="F159" t="str">
            <v>1-4</v>
          </cell>
          <cell r="G159">
            <v>30145634</v>
          </cell>
          <cell r="H159" t="str">
            <v>ABPM</v>
          </cell>
          <cell r="I159">
            <v>119</v>
          </cell>
          <cell r="J159" t="str">
            <v>Gramin Dak Sevaks</v>
          </cell>
          <cell r="K159">
            <v>29106986</v>
          </cell>
          <cell r="L159" t="str">
            <v>Thumbivadi B.O</v>
          </cell>
          <cell r="M159" t="str">
            <v>ABPM, Thumbivadi B.O</v>
          </cell>
          <cell r="N159" t="str">
            <v>KZGPK9898K</v>
          </cell>
          <cell r="O159">
            <v>37098.000115740739</v>
          </cell>
          <cell r="P159">
            <v>44821.000115740739</v>
          </cell>
          <cell r="Q159" t="str">
            <v>010019721289</v>
          </cell>
        </row>
        <row r="160">
          <cell r="C160">
            <v>50548137</v>
          </cell>
          <cell r="D160" t="str">
            <v xml:space="preserve">S DHARANI  </v>
          </cell>
          <cell r="E160" t="str">
            <v>Female</v>
          </cell>
          <cell r="F160" t="str">
            <v>2-4</v>
          </cell>
          <cell r="G160">
            <v>30145832</v>
          </cell>
          <cell r="H160" t="str">
            <v>ABPM</v>
          </cell>
          <cell r="I160">
            <v>119</v>
          </cell>
          <cell r="J160" t="str">
            <v>Gramin Dak Sevaks</v>
          </cell>
          <cell r="K160">
            <v>29661940</v>
          </cell>
          <cell r="L160" t="str">
            <v>Pasupathipalayam S.O</v>
          </cell>
          <cell r="M160" t="str">
            <v>ABPM, Pasupathipalayam S.O</v>
          </cell>
          <cell r="N160" t="str">
            <v>OBXPS9120P</v>
          </cell>
          <cell r="O160">
            <v>36592.000115740739</v>
          </cell>
          <cell r="P160">
            <v>44821.000115740739</v>
          </cell>
          <cell r="Q160" t="str">
            <v>010019549839</v>
          </cell>
        </row>
        <row r="161">
          <cell r="C161">
            <v>50550078</v>
          </cell>
          <cell r="D161" t="str">
            <v>KAWSHIKA  M</v>
          </cell>
          <cell r="E161" t="str">
            <v>Female</v>
          </cell>
          <cell r="F161" t="str">
            <v>2-4</v>
          </cell>
          <cell r="G161">
            <v>30145635</v>
          </cell>
          <cell r="H161" t="str">
            <v>ABPM</v>
          </cell>
          <cell r="I161">
            <v>119</v>
          </cell>
          <cell r="J161" t="str">
            <v>Gramin Dak Sevaks</v>
          </cell>
          <cell r="K161">
            <v>29106954</v>
          </cell>
          <cell r="L161" t="str">
            <v>Sandapadi B.O</v>
          </cell>
          <cell r="M161" t="str">
            <v>ABPM, Sandapadi B.O</v>
          </cell>
          <cell r="N161" t="str">
            <v>HKOPK9667L</v>
          </cell>
          <cell r="O161">
            <v>36694.000115740739</v>
          </cell>
          <cell r="P161">
            <v>44819.000115740739</v>
          </cell>
          <cell r="Q161" t="str">
            <v>010019881437</v>
          </cell>
        </row>
        <row r="162">
          <cell r="C162">
            <v>50554476</v>
          </cell>
          <cell r="D162" t="str">
            <v>Vignesh  N</v>
          </cell>
          <cell r="E162" t="str">
            <v>Male</v>
          </cell>
          <cell r="F162" t="str">
            <v>2-4</v>
          </cell>
          <cell r="G162">
            <v>30143852</v>
          </cell>
          <cell r="H162" t="str">
            <v>Dak Sevak</v>
          </cell>
          <cell r="I162">
            <v>119</v>
          </cell>
          <cell r="J162" t="str">
            <v>Gramin Dak Sevaks</v>
          </cell>
          <cell r="K162">
            <v>29661952</v>
          </cell>
          <cell r="L162" t="str">
            <v>Tirumanilaiyur S.O</v>
          </cell>
          <cell r="M162" t="str">
            <v>Dak Sevak, Tirumanilaiyur S.O</v>
          </cell>
          <cell r="N162" t="str">
            <v>ATMPV7854N</v>
          </cell>
          <cell r="O162">
            <v>35038.000115740739</v>
          </cell>
          <cell r="P162">
            <v>44856.000115740739</v>
          </cell>
          <cell r="Q162" t="str">
            <v>010020841001</v>
          </cell>
        </row>
        <row r="163">
          <cell r="C163">
            <v>50558671</v>
          </cell>
          <cell r="D163" t="str">
            <v xml:space="preserve">R MADHURAVANI  </v>
          </cell>
          <cell r="E163" t="str">
            <v>Female</v>
          </cell>
          <cell r="F163" t="str">
            <v>1-4</v>
          </cell>
          <cell r="G163">
            <v>30145778</v>
          </cell>
          <cell r="H163" t="str">
            <v>ABPM</v>
          </cell>
          <cell r="I163">
            <v>119</v>
          </cell>
          <cell r="J163" t="str">
            <v>Gramin Dak Sevaks</v>
          </cell>
          <cell r="K163">
            <v>29106938</v>
          </cell>
          <cell r="L163" t="str">
            <v>Punjaithottakurichi B.O</v>
          </cell>
          <cell r="M163" t="str">
            <v>ABPM, Punjaithottakurichi B.O</v>
          </cell>
          <cell r="N163" t="str">
            <v>EOQPR8357D</v>
          </cell>
          <cell r="O163">
            <v>36783.000115740739</v>
          </cell>
          <cell r="P163">
            <v>44884.000115740739</v>
          </cell>
          <cell r="Q163" t="str">
            <v>010021468360</v>
          </cell>
        </row>
        <row r="164">
          <cell r="C164">
            <v>50558672</v>
          </cell>
          <cell r="D164" t="str">
            <v>P  NAVEENA</v>
          </cell>
          <cell r="E164" t="str">
            <v>Female</v>
          </cell>
          <cell r="F164" t="str">
            <v>1-4</v>
          </cell>
          <cell r="G164">
            <v>30146014</v>
          </cell>
          <cell r="H164" t="str">
            <v>ABPM</v>
          </cell>
          <cell r="I164">
            <v>119</v>
          </cell>
          <cell r="J164" t="str">
            <v>Gramin Dak Sevaks</v>
          </cell>
          <cell r="K164">
            <v>29106898</v>
          </cell>
          <cell r="L164" t="str">
            <v>Paganatham B.O</v>
          </cell>
          <cell r="M164" t="str">
            <v>ABPM, Paganatham B.O</v>
          </cell>
          <cell r="N164" t="str">
            <v>ABCPD1234E</v>
          </cell>
          <cell r="O164">
            <v>36719.000115740739</v>
          </cell>
          <cell r="P164">
            <v>44884.000115740739</v>
          </cell>
          <cell r="Q164" t="str">
            <v>010021465629</v>
          </cell>
        </row>
        <row r="165">
          <cell r="C165">
            <v>50558674</v>
          </cell>
          <cell r="D165" t="str">
            <v xml:space="preserve">A R JHAIYAKHAATHEMBHARI  </v>
          </cell>
          <cell r="E165" t="str">
            <v>Female</v>
          </cell>
          <cell r="F165" t="str">
            <v>1-4</v>
          </cell>
          <cell r="G165">
            <v>30145957</v>
          </cell>
          <cell r="H165" t="str">
            <v>Dak Sevak</v>
          </cell>
          <cell r="I165">
            <v>119</v>
          </cell>
          <cell r="J165" t="str">
            <v>Gramin Dak Sevaks</v>
          </cell>
          <cell r="K165">
            <v>29661956</v>
          </cell>
          <cell r="L165" t="str">
            <v>Velayuthampalayam S.O</v>
          </cell>
          <cell r="M165" t="str">
            <v>Dak Sevak, Velayuthampalayam S.O</v>
          </cell>
          <cell r="N165" t="str">
            <v>ABCPD1234E</v>
          </cell>
          <cell r="O165">
            <v>36462.000115740739</v>
          </cell>
          <cell r="P165">
            <v>44884.000115740739</v>
          </cell>
          <cell r="Q165" t="str">
            <v>010021433810</v>
          </cell>
        </row>
        <row r="166">
          <cell r="C166">
            <v>50558675</v>
          </cell>
          <cell r="D166" t="str">
            <v xml:space="preserve">S DHARANI  </v>
          </cell>
          <cell r="E166" t="str">
            <v>Female</v>
          </cell>
          <cell r="F166" t="str">
            <v>1-3</v>
          </cell>
          <cell r="G166">
            <v>30145873</v>
          </cell>
          <cell r="H166" t="str">
            <v>ABPM</v>
          </cell>
          <cell r="I166">
            <v>119</v>
          </cell>
          <cell r="J166" t="str">
            <v>Gramin Dak Sevaks</v>
          </cell>
          <cell r="K166">
            <v>29106959</v>
          </cell>
          <cell r="L166" t="str">
            <v>Semangi B.O</v>
          </cell>
          <cell r="M166" t="str">
            <v>ABPM, Semangi B.O</v>
          </cell>
          <cell r="N166" t="str">
            <v>GFLPD5987M</v>
          </cell>
          <cell r="O166">
            <v>36117.000115740739</v>
          </cell>
          <cell r="P166">
            <v>44884.000115740739</v>
          </cell>
          <cell r="Q166" t="str">
            <v>010021429104</v>
          </cell>
        </row>
        <row r="167">
          <cell r="C167">
            <v>50558676</v>
          </cell>
          <cell r="D167" t="str">
            <v>NADHIYASRINITHI  S</v>
          </cell>
          <cell r="E167" t="str">
            <v>Female</v>
          </cell>
          <cell r="F167" t="str">
            <v>1-3</v>
          </cell>
          <cell r="G167">
            <v>30145901</v>
          </cell>
          <cell r="H167" t="str">
            <v>BPM</v>
          </cell>
          <cell r="I167">
            <v>119</v>
          </cell>
          <cell r="J167" t="str">
            <v>Gramin Dak Sevaks</v>
          </cell>
          <cell r="K167">
            <v>29106780</v>
          </cell>
          <cell r="L167" t="str">
            <v>Inunganur B.O</v>
          </cell>
          <cell r="M167" t="str">
            <v>BPM, Inunganur B.O</v>
          </cell>
          <cell r="N167" t="str">
            <v>GJIPS9520J</v>
          </cell>
          <cell r="O167">
            <v>35644.000115740739</v>
          </cell>
          <cell r="P167">
            <v>44884.000115740739</v>
          </cell>
          <cell r="Q167" t="str">
            <v>010021395412</v>
          </cell>
        </row>
        <row r="168">
          <cell r="C168">
            <v>50558677</v>
          </cell>
          <cell r="D168" t="str">
            <v>PUSHPALATHA  R</v>
          </cell>
          <cell r="E168" t="str">
            <v>Female</v>
          </cell>
          <cell r="F168" t="str">
            <v>1-4</v>
          </cell>
          <cell r="G168">
            <v>30146032</v>
          </cell>
          <cell r="H168" t="str">
            <v>BPM</v>
          </cell>
          <cell r="I168">
            <v>119</v>
          </cell>
          <cell r="J168" t="str">
            <v>Gramin Dak Sevaks</v>
          </cell>
          <cell r="K168">
            <v>29106836</v>
          </cell>
          <cell r="L168" t="str">
            <v>Kuppam B.O</v>
          </cell>
          <cell r="M168" t="str">
            <v>BPM, Kuppam B.O</v>
          </cell>
          <cell r="N168" t="str">
            <v>FZKPR1655E</v>
          </cell>
          <cell r="O168">
            <v>37213.000115740739</v>
          </cell>
          <cell r="P168">
            <v>44884.000115740739</v>
          </cell>
          <cell r="Q168" t="str">
            <v>010021482727</v>
          </cell>
        </row>
        <row r="169">
          <cell r="C169">
            <v>50558679</v>
          </cell>
          <cell r="D169" t="str">
            <v>CHARUMATHI  M S</v>
          </cell>
          <cell r="E169" t="str">
            <v>Female</v>
          </cell>
          <cell r="F169" t="str">
            <v>1-4</v>
          </cell>
          <cell r="G169">
            <v>30145645</v>
          </cell>
          <cell r="H169" t="str">
            <v>BPM</v>
          </cell>
          <cell r="I169">
            <v>119</v>
          </cell>
          <cell r="J169" t="str">
            <v>Gramin Dak Sevaks</v>
          </cell>
          <cell r="K169">
            <v>29106918</v>
          </cell>
          <cell r="L169" t="str">
            <v>Periyathirumangalam B.O</v>
          </cell>
          <cell r="M169" t="str">
            <v>BPM, Periyathirumangalam B.O</v>
          </cell>
          <cell r="N169" t="str">
            <v>CIAPC6233M</v>
          </cell>
          <cell r="O169">
            <v>36270.000115740739</v>
          </cell>
          <cell r="P169">
            <v>44884.000115740739</v>
          </cell>
          <cell r="Q169" t="str">
            <v>010021432583</v>
          </cell>
        </row>
        <row r="170">
          <cell r="C170">
            <v>50558680</v>
          </cell>
          <cell r="D170" t="str">
            <v xml:space="preserve">A AJAYKUMAR  </v>
          </cell>
          <cell r="E170" t="str">
            <v>Male</v>
          </cell>
          <cell r="F170" t="str">
            <v>1-4</v>
          </cell>
          <cell r="G170">
            <v>30146024</v>
          </cell>
          <cell r="H170" t="str">
            <v>BPM</v>
          </cell>
          <cell r="I170">
            <v>119</v>
          </cell>
          <cell r="J170" t="str">
            <v>Gramin Dak Sevaks</v>
          </cell>
          <cell r="K170">
            <v>29107007</v>
          </cell>
          <cell r="L170" t="str">
            <v>Velampundi B.O</v>
          </cell>
          <cell r="M170" t="str">
            <v>BPM, Velampundi B.O</v>
          </cell>
          <cell r="N170" t="str">
            <v>BNQPA6970H</v>
          </cell>
          <cell r="O170">
            <v>35549.000115740739</v>
          </cell>
          <cell r="P170">
            <v>44882.000115740739</v>
          </cell>
          <cell r="Q170" t="str">
            <v>7007044976</v>
          </cell>
        </row>
        <row r="171">
          <cell r="C171">
            <v>50558682</v>
          </cell>
          <cell r="D171" t="str">
            <v xml:space="preserve">SRUTHI M  </v>
          </cell>
          <cell r="E171" t="str">
            <v>Female</v>
          </cell>
          <cell r="F171" t="str">
            <v>1-4</v>
          </cell>
          <cell r="G171">
            <v>30225502</v>
          </cell>
          <cell r="H171" t="str">
            <v>ABPM</v>
          </cell>
          <cell r="I171">
            <v>119</v>
          </cell>
          <cell r="J171" t="str">
            <v>Gramin Dak Sevaks</v>
          </cell>
          <cell r="K171">
            <v>29661916</v>
          </cell>
          <cell r="L171" t="str">
            <v>Aravakurichi S.O</v>
          </cell>
          <cell r="M171" t="str">
            <v>ABPM, Aravakurichi S.O</v>
          </cell>
          <cell r="N171" t="str">
            <v>MGSPS0838N</v>
          </cell>
          <cell r="O171">
            <v>37223.000115740739</v>
          </cell>
          <cell r="P171">
            <v>44884.000115740739</v>
          </cell>
          <cell r="Q171" t="str">
            <v>010021389722</v>
          </cell>
        </row>
        <row r="172">
          <cell r="C172">
            <v>50566122</v>
          </cell>
          <cell r="D172" t="str">
            <v>DEEPIKA  N</v>
          </cell>
          <cell r="E172" t="str">
            <v>Female</v>
          </cell>
          <cell r="F172" t="str">
            <v>1-3</v>
          </cell>
          <cell r="G172">
            <v>30145727</v>
          </cell>
          <cell r="H172" t="str">
            <v>GDS Mail Carrier</v>
          </cell>
          <cell r="I172">
            <v>119</v>
          </cell>
          <cell r="J172" t="str">
            <v>Gramin Dak Sevaks</v>
          </cell>
          <cell r="K172">
            <v>29661958</v>
          </cell>
          <cell r="L172" t="str">
            <v>Vengamedu S.O</v>
          </cell>
          <cell r="M172" t="str">
            <v>GDS Mail Carrier, Vengamedu S.O</v>
          </cell>
          <cell r="N172" t="str">
            <v>ABCPD1234E</v>
          </cell>
          <cell r="O172">
            <v>36591.000115740739</v>
          </cell>
          <cell r="P172">
            <v>44931.000115740739</v>
          </cell>
          <cell r="Q172" t="str">
            <v>010022948689</v>
          </cell>
        </row>
        <row r="173">
          <cell r="C173">
            <v>50576088</v>
          </cell>
          <cell r="D173" t="str">
            <v>VAITHEESWARI  K</v>
          </cell>
          <cell r="E173" t="str">
            <v>Female</v>
          </cell>
          <cell r="F173" t="str">
            <v>1-3</v>
          </cell>
          <cell r="G173">
            <v>30225034</v>
          </cell>
          <cell r="H173" t="str">
            <v>ABPM</v>
          </cell>
          <cell r="I173">
            <v>119</v>
          </cell>
          <cell r="J173" t="str">
            <v>Gramin Dak Sevaks</v>
          </cell>
          <cell r="K173">
            <v>29661917</v>
          </cell>
          <cell r="L173" t="str">
            <v>Chinnadharapuram S.O</v>
          </cell>
          <cell r="M173" t="str">
            <v>ABPM, Chinnadharapuram S.O</v>
          </cell>
          <cell r="N173" t="str">
            <v>COWPV6069Q</v>
          </cell>
          <cell r="O173">
            <v>37118.000115740739</v>
          </cell>
          <cell r="P173">
            <v>45062.000115740739</v>
          </cell>
          <cell r="Q173" t="str">
            <v>010021470631</v>
          </cell>
        </row>
        <row r="174">
          <cell r="C174">
            <v>50576295</v>
          </cell>
          <cell r="D174" t="str">
            <v>METHA  M</v>
          </cell>
          <cell r="E174" t="str">
            <v>Female</v>
          </cell>
          <cell r="F174" t="str">
            <v>1-3</v>
          </cell>
          <cell r="G174">
            <v>30145973</v>
          </cell>
          <cell r="H174" t="str">
            <v>BPM</v>
          </cell>
          <cell r="I174">
            <v>119</v>
          </cell>
          <cell r="J174" t="str">
            <v>Gramin Dak Sevaks</v>
          </cell>
          <cell r="K174">
            <v>29106981</v>
          </cell>
          <cell r="L174" t="str">
            <v>Thokkupattipudur B.O</v>
          </cell>
          <cell r="M174" t="str">
            <v>BPM, Thokkupattipudur B.O</v>
          </cell>
          <cell r="N174" t="str">
            <v>GPSPM1170N</v>
          </cell>
          <cell r="O174">
            <v>37296.000115740739</v>
          </cell>
          <cell r="P174">
            <v>45063.000115740739</v>
          </cell>
          <cell r="Q174" t="str">
            <v>010028327810</v>
          </cell>
        </row>
        <row r="175">
          <cell r="C175">
            <v>50576300</v>
          </cell>
          <cell r="D175" t="str">
            <v>SANGEETHA  N</v>
          </cell>
          <cell r="E175" t="str">
            <v>Female</v>
          </cell>
          <cell r="F175" t="str">
            <v>1-3</v>
          </cell>
          <cell r="G175">
            <v>30145667</v>
          </cell>
          <cell r="H175" t="str">
            <v>ABPM</v>
          </cell>
          <cell r="I175">
            <v>119</v>
          </cell>
          <cell r="J175" t="str">
            <v>Gramin Dak Sevaks</v>
          </cell>
          <cell r="K175">
            <v>29106918</v>
          </cell>
          <cell r="L175" t="str">
            <v>Periyathirumangalam B.O</v>
          </cell>
          <cell r="M175" t="str">
            <v>ABPM, Periyathirumangalam B.O</v>
          </cell>
          <cell r="N175" t="str">
            <v>NPCPS4550B</v>
          </cell>
          <cell r="O175">
            <v>37235.000115740739</v>
          </cell>
          <cell r="P175">
            <v>45063.000115740739</v>
          </cell>
          <cell r="Q175" t="str">
            <v>4904335411</v>
          </cell>
        </row>
        <row r="176">
          <cell r="C176">
            <v>50576301</v>
          </cell>
          <cell r="D176" t="str">
            <v>KISHORE  S</v>
          </cell>
          <cell r="E176" t="str">
            <v>Male</v>
          </cell>
          <cell r="F176" t="str">
            <v>1-3</v>
          </cell>
          <cell r="G176">
            <v>30146094</v>
          </cell>
          <cell r="H176" t="str">
            <v>ABPM</v>
          </cell>
          <cell r="I176">
            <v>119</v>
          </cell>
          <cell r="J176" t="str">
            <v>Gramin Dak Sevaks</v>
          </cell>
          <cell r="K176">
            <v>29106755</v>
          </cell>
          <cell r="L176" t="str">
            <v>Chellandipatti B.O</v>
          </cell>
          <cell r="M176" t="str">
            <v>ABPM, Chellandipatti B.O</v>
          </cell>
          <cell r="N176" t="str">
            <v>PRGPS0403F</v>
          </cell>
          <cell r="O176">
            <v>38265.000115740739</v>
          </cell>
          <cell r="P176">
            <v>45063.000115740739</v>
          </cell>
          <cell r="Q176" t="str">
            <v>010028376017</v>
          </cell>
        </row>
        <row r="177">
          <cell r="C177">
            <v>50576302</v>
          </cell>
          <cell r="D177" t="str">
            <v>DHIVYA  P</v>
          </cell>
          <cell r="E177" t="str">
            <v>Female</v>
          </cell>
          <cell r="F177" t="str">
            <v>1-3</v>
          </cell>
          <cell r="G177">
            <v>30145604</v>
          </cell>
          <cell r="H177" t="str">
            <v>BPM</v>
          </cell>
          <cell r="I177">
            <v>119</v>
          </cell>
          <cell r="J177" t="str">
            <v>Gramin Dak Sevaks</v>
          </cell>
          <cell r="K177">
            <v>29107012</v>
          </cell>
          <cell r="L177" t="str">
            <v>Venjamangudalur B.O</v>
          </cell>
          <cell r="M177" t="str">
            <v>BPM, Venjamangudalur B.O</v>
          </cell>
          <cell r="N177" t="str">
            <v>IQKPD1651J</v>
          </cell>
          <cell r="O177">
            <v>36892.000115740739</v>
          </cell>
          <cell r="P177">
            <v>45063.000115740739</v>
          </cell>
          <cell r="Q177" t="str">
            <v>010028355845</v>
          </cell>
        </row>
        <row r="178">
          <cell r="C178">
            <v>50576399</v>
          </cell>
          <cell r="D178" t="str">
            <v>GOBIKA  A B</v>
          </cell>
          <cell r="E178" t="str">
            <v>Female</v>
          </cell>
          <cell r="F178" t="str">
            <v>1-3</v>
          </cell>
          <cell r="G178">
            <v>30145915</v>
          </cell>
          <cell r="H178" t="str">
            <v>BPM</v>
          </cell>
          <cell r="I178">
            <v>119</v>
          </cell>
          <cell r="J178" t="str">
            <v>Gramin Dak Sevaks</v>
          </cell>
          <cell r="K178">
            <v>29106935</v>
          </cell>
          <cell r="L178" t="str">
            <v>Pungambadi B.O</v>
          </cell>
          <cell r="M178" t="str">
            <v>BPM, Pungambadi B.O</v>
          </cell>
          <cell r="N178" t="str">
            <v>DYKPG3800I</v>
          </cell>
          <cell r="O178">
            <v>36864.000115740739</v>
          </cell>
          <cell r="P178">
            <v>45063.000115740739</v>
          </cell>
          <cell r="Q178" t="str">
            <v>010019967502</v>
          </cell>
        </row>
        <row r="179">
          <cell r="C179">
            <v>50581705</v>
          </cell>
          <cell r="D179" t="str">
            <v>ABIRAMI  S</v>
          </cell>
          <cell r="E179" t="str">
            <v>Female</v>
          </cell>
          <cell r="F179" t="str">
            <v>1-3</v>
          </cell>
          <cell r="G179">
            <v>30146038</v>
          </cell>
          <cell r="H179" t="str">
            <v>ABPM</v>
          </cell>
          <cell r="I179">
            <v>119</v>
          </cell>
          <cell r="J179" t="str">
            <v>Gramin Dak Sevaks</v>
          </cell>
          <cell r="K179">
            <v>29661936</v>
          </cell>
          <cell r="L179" t="str">
            <v>Pallapatti Bazaar S.O</v>
          </cell>
          <cell r="M179" t="str">
            <v>ABPM, Pallapatti Bazaar S.O</v>
          </cell>
          <cell r="N179" t="str">
            <v>CMWPA4927Q</v>
          </cell>
          <cell r="O179">
            <v>36597.000115740739</v>
          </cell>
          <cell r="P179">
            <v>45080.000115740739</v>
          </cell>
          <cell r="Q179" t="str">
            <v>010028839843</v>
          </cell>
        </row>
        <row r="180">
          <cell r="C180">
            <v>50585865</v>
          </cell>
          <cell r="D180" t="str">
            <v>VAANI  N</v>
          </cell>
          <cell r="E180" t="str">
            <v>Female</v>
          </cell>
          <cell r="F180" t="str">
            <v>2-3</v>
          </cell>
          <cell r="G180">
            <v>30145608</v>
          </cell>
          <cell r="H180" t="str">
            <v>BPM</v>
          </cell>
          <cell r="I180">
            <v>119</v>
          </cell>
          <cell r="J180" t="str">
            <v>Gramin Dak Sevaks</v>
          </cell>
          <cell r="K180">
            <v>29107017</v>
          </cell>
          <cell r="L180" t="str">
            <v>West Orathai B.O</v>
          </cell>
          <cell r="M180" t="str">
            <v>BPM, West Orathai B.O</v>
          </cell>
          <cell r="N180" t="str">
            <v>CSEPN6223L</v>
          </cell>
          <cell r="O180">
            <v>36269.000115740739</v>
          </cell>
          <cell r="P180">
            <v>45093.000115740739</v>
          </cell>
          <cell r="Q180" t="str">
            <v>010029516418</v>
          </cell>
        </row>
        <row r="181">
          <cell r="C181">
            <v>50589013</v>
          </cell>
          <cell r="D181" t="str">
            <v>MADHU SRE  K E</v>
          </cell>
          <cell r="E181" t="str">
            <v>Female</v>
          </cell>
          <cell r="F181" t="str">
            <v>1-3</v>
          </cell>
          <cell r="G181">
            <v>30225098</v>
          </cell>
          <cell r="H181" t="str">
            <v>BPM</v>
          </cell>
          <cell r="I181">
            <v>119</v>
          </cell>
          <cell r="J181" t="str">
            <v>Gramin Dak Sevaks</v>
          </cell>
          <cell r="K181">
            <v>29106815</v>
          </cell>
          <cell r="L181" t="str">
            <v>Kattumunnur B.O</v>
          </cell>
          <cell r="M181" t="str">
            <v>BPM, Kattumunnur B.O</v>
          </cell>
          <cell r="N181" t="str">
            <v>IISPM0376K</v>
          </cell>
          <cell r="O181">
            <v>36986.000115740739</v>
          </cell>
          <cell r="P181">
            <v>45111.000115740739</v>
          </cell>
          <cell r="Q181" t="str">
            <v>010029820697</v>
          </cell>
        </row>
        <row r="182">
          <cell r="C182">
            <v>50589014</v>
          </cell>
          <cell r="D182" t="str">
            <v>THARANI  R</v>
          </cell>
          <cell r="E182" t="str">
            <v>Female</v>
          </cell>
          <cell r="F182" t="str">
            <v>1-3</v>
          </cell>
          <cell r="G182">
            <v>30146093</v>
          </cell>
          <cell r="H182" t="str">
            <v>ABPM</v>
          </cell>
          <cell r="I182">
            <v>119</v>
          </cell>
          <cell r="J182" t="str">
            <v>Gramin Dak Sevaks</v>
          </cell>
          <cell r="K182">
            <v>29106803</v>
          </cell>
          <cell r="L182" t="str">
            <v>Karudayampalayam B.O</v>
          </cell>
          <cell r="M182" t="str">
            <v>ABPM, Karudayampalayam B.O</v>
          </cell>
          <cell r="N182" t="str">
            <v>BHXPT3372F</v>
          </cell>
          <cell r="O182">
            <v>36728.000115740739</v>
          </cell>
          <cell r="P182">
            <v>45111.000115740739</v>
          </cell>
          <cell r="Q182" t="str">
            <v>010030186124</v>
          </cell>
        </row>
        <row r="183">
          <cell r="C183">
            <v>50589016</v>
          </cell>
          <cell r="D183" t="str">
            <v>PERIYANNAN  P</v>
          </cell>
          <cell r="E183" t="str">
            <v>Male</v>
          </cell>
          <cell r="F183" t="str">
            <v>1-3</v>
          </cell>
          <cell r="G183">
            <v>30145674</v>
          </cell>
          <cell r="H183" t="str">
            <v>Dak Sevak</v>
          </cell>
          <cell r="I183">
            <v>119</v>
          </cell>
          <cell r="J183" t="str">
            <v>Gramin Dak Sevaks</v>
          </cell>
          <cell r="K183">
            <v>29661916</v>
          </cell>
          <cell r="L183" t="str">
            <v>Aravakurichi S.O</v>
          </cell>
          <cell r="M183" t="str">
            <v>Dak Sevak, Aravakurichi S.O</v>
          </cell>
          <cell r="N183" t="str">
            <v>HRGPP4602B</v>
          </cell>
          <cell r="O183">
            <v>38239.000115740739</v>
          </cell>
          <cell r="P183">
            <v>45111.000115740739</v>
          </cell>
          <cell r="Q183" t="str">
            <v>010029673082</v>
          </cell>
        </row>
        <row r="184">
          <cell r="C184">
            <v>50589017</v>
          </cell>
          <cell r="D184" t="str">
            <v>MAHESHWARAN  V</v>
          </cell>
          <cell r="E184" t="str">
            <v>Male</v>
          </cell>
          <cell r="F184" t="str">
            <v>1-3</v>
          </cell>
          <cell r="G184">
            <v>30145828</v>
          </cell>
          <cell r="H184" t="str">
            <v>BPM</v>
          </cell>
          <cell r="I184">
            <v>119</v>
          </cell>
          <cell r="J184" t="str">
            <v>Gramin Dak Sevaks</v>
          </cell>
          <cell r="K184">
            <v>29106886</v>
          </cell>
          <cell r="L184" t="str">
            <v>Nanjaikalakurichi B.O</v>
          </cell>
          <cell r="M184" t="str">
            <v>BPM, Nanjaikalakurichi B.O</v>
          </cell>
          <cell r="N184" t="str">
            <v>GKFPM4444D</v>
          </cell>
          <cell r="O184">
            <v>36466.000115740739</v>
          </cell>
          <cell r="P184">
            <v>45111.000115740739</v>
          </cell>
          <cell r="Q184" t="str">
            <v>010018518280</v>
          </cell>
        </row>
        <row r="185">
          <cell r="C185">
            <v>50596364</v>
          </cell>
          <cell r="D185" t="str">
            <v>NANDHINI  V</v>
          </cell>
          <cell r="E185" t="str">
            <v>Female</v>
          </cell>
          <cell r="F185" t="str">
            <v>1-3</v>
          </cell>
          <cell r="G185">
            <v>30145776</v>
          </cell>
          <cell r="H185" t="str">
            <v>ABPM</v>
          </cell>
          <cell r="I185">
            <v>119</v>
          </cell>
          <cell r="J185" t="str">
            <v>Gramin Dak Sevaks</v>
          </cell>
          <cell r="K185">
            <v>29106939</v>
          </cell>
          <cell r="L185" t="str">
            <v>Punnam B.O</v>
          </cell>
          <cell r="M185" t="str">
            <v>ABPM, Punnam B.O</v>
          </cell>
          <cell r="N185" t="str">
            <v>AYFPN7859M</v>
          </cell>
          <cell r="O185">
            <v>36032.000115740739</v>
          </cell>
          <cell r="P185">
            <v>45149.000115740739</v>
          </cell>
          <cell r="Q185" t="str">
            <v>010018474747</v>
          </cell>
        </row>
        <row r="186">
          <cell r="C186">
            <v>50596365</v>
          </cell>
          <cell r="D186" t="str">
            <v>NISHA  G</v>
          </cell>
          <cell r="E186" t="str">
            <v>Female</v>
          </cell>
          <cell r="F186" t="str">
            <v>1-3</v>
          </cell>
          <cell r="G186">
            <v>30145684</v>
          </cell>
          <cell r="H186" t="str">
            <v>ABPM</v>
          </cell>
          <cell r="I186">
            <v>119</v>
          </cell>
          <cell r="J186" t="str">
            <v>Gramin Dak Sevaks</v>
          </cell>
          <cell r="K186">
            <v>29106952</v>
          </cell>
          <cell r="L186" t="str">
            <v>S.Vellalapatti B.O</v>
          </cell>
          <cell r="M186" t="str">
            <v>ABPM, S.Vellalapatti B.O</v>
          </cell>
          <cell r="N186" t="str">
            <v>COKPN6473A</v>
          </cell>
          <cell r="O186">
            <v>36592.000115740739</v>
          </cell>
          <cell r="P186">
            <v>45149.000115740739</v>
          </cell>
          <cell r="Q186" t="str">
            <v>010018518200</v>
          </cell>
        </row>
        <row r="187">
          <cell r="C187">
            <v>50596366</v>
          </cell>
          <cell r="D187" t="str">
            <v>VENKATESH  B</v>
          </cell>
          <cell r="E187" t="str">
            <v>Male</v>
          </cell>
          <cell r="F187" t="str">
            <v>1-3</v>
          </cell>
          <cell r="G187">
            <v>30146019</v>
          </cell>
          <cell r="H187" t="str">
            <v>ABPM</v>
          </cell>
          <cell r="I187">
            <v>119</v>
          </cell>
          <cell r="J187" t="str">
            <v>Gramin Dak Sevaks</v>
          </cell>
          <cell r="K187">
            <v>29106941</v>
          </cell>
          <cell r="L187" t="str">
            <v>Puthambur B.O</v>
          </cell>
          <cell r="M187" t="str">
            <v>ABPM, Puthambur B.O</v>
          </cell>
          <cell r="N187" t="str">
            <v>GLKPB4608G</v>
          </cell>
          <cell r="O187">
            <v>36820.000115740739</v>
          </cell>
          <cell r="P187">
            <v>45149.000115740739</v>
          </cell>
          <cell r="Q187" t="str">
            <v>010030961899</v>
          </cell>
        </row>
        <row r="188">
          <cell r="C188">
            <v>50606215</v>
          </cell>
          <cell r="D188" t="str">
            <v>RASIGHA  R</v>
          </cell>
          <cell r="E188" t="str">
            <v>Female</v>
          </cell>
          <cell r="F188" t="str">
            <v>1-3</v>
          </cell>
          <cell r="G188">
            <v>30224969</v>
          </cell>
          <cell r="H188" t="str">
            <v>ABPM</v>
          </cell>
          <cell r="I188">
            <v>119</v>
          </cell>
          <cell r="J188" t="str">
            <v>Gramin Dak Sevaks</v>
          </cell>
          <cell r="K188">
            <v>29106991</v>
          </cell>
          <cell r="L188" t="str">
            <v>Uttupatti B.O</v>
          </cell>
          <cell r="M188" t="str">
            <v>ABPM, Uttupatti B.O</v>
          </cell>
          <cell r="N188" t="str">
            <v>EMGPR0211E</v>
          </cell>
          <cell r="O188">
            <v>37102.000115740739</v>
          </cell>
          <cell r="P188">
            <v>45217.000115740739</v>
          </cell>
          <cell r="Q188" t="str">
            <v>010033028626</v>
          </cell>
        </row>
        <row r="189">
          <cell r="C189">
            <v>50606216</v>
          </cell>
          <cell r="D189" t="str">
            <v>RAMYA  K</v>
          </cell>
          <cell r="E189" t="str">
            <v>Female</v>
          </cell>
          <cell r="F189" t="str">
            <v>1-3</v>
          </cell>
          <cell r="G189">
            <v>30225435</v>
          </cell>
          <cell r="H189" t="str">
            <v>GDS Mail Carrier</v>
          </cell>
          <cell r="I189">
            <v>119</v>
          </cell>
          <cell r="J189" t="str">
            <v>Gramin Dak Sevaks</v>
          </cell>
          <cell r="K189">
            <v>29106783</v>
          </cell>
          <cell r="L189" t="str">
            <v>K.Pitchampatti B.O</v>
          </cell>
          <cell r="M189" t="str">
            <v>GDS Mail Carrier, K.Pitchampatti B.O</v>
          </cell>
          <cell r="N189" t="str">
            <v>CKLPR9963G</v>
          </cell>
          <cell r="O189">
            <v>36252.000115740739</v>
          </cell>
          <cell r="P189">
            <v>45217.000115740739</v>
          </cell>
          <cell r="Q189" t="str">
            <v>010033120141</v>
          </cell>
        </row>
        <row r="190">
          <cell r="C190">
            <v>50606218</v>
          </cell>
          <cell r="D190" t="str">
            <v>DEVIKA   T</v>
          </cell>
          <cell r="E190" t="str">
            <v>Female</v>
          </cell>
          <cell r="F190" t="str">
            <v>1-3</v>
          </cell>
          <cell r="G190">
            <v>30146116</v>
          </cell>
          <cell r="H190" t="str">
            <v>ABPM</v>
          </cell>
          <cell r="I190">
            <v>119</v>
          </cell>
          <cell r="J190" t="str">
            <v>Gramin Dak Sevaks</v>
          </cell>
          <cell r="K190">
            <v>29106780</v>
          </cell>
          <cell r="L190" t="str">
            <v>Inunganur B.O</v>
          </cell>
          <cell r="M190" t="str">
            <v>ABPM, Inunganur B.O</v>
          </cell>
          <cell r="N190" t="str">
            <v>BXKPT6199M</v>
          </cell>
          <cell r="O190">
            <v>36894.000115740739</v>
          </cell>
          <cell r="P190">
            <v>45217.000115740739</v>
          </cell>
          <cell r="Q190" t="str">
            <v>010018516179</v>
          </cell>
        </row>
        <row r="191">
          <cell r="C191">
            <v>50606277</v>
          </cell>
          <cell r="D191" t="str">
            <v xml:space="preserve">SANTHOSH K  </v>
          </cell>
          <cell r="E191" t="str">
            <v>Male</v>
          </cell>
          <cell r="F191" t="str">
            <v>2-1</v>
          </cell>
          <cell r="G191">
            <v>30145588</v>
          </cell>
          <cell r="H191" t="str">
            <v>BPM</v>
          </cell>
          <cell r="I191">
            <v>119</v>
          </cell>
          <cell r="J191" t="str">
            <v>Gramin Dak Sevaks</v>
          </cell>
          <cell r="K191">
            <v>29106834</v>
          </cell>
          <cell r="L191" t="str">
            <v>Kuppachipalayam B.O</v>
          </cell>
          <cell r="M191" t="str">
            <v>BPM, Kuppachipalayam B.O</v>
          </cell>
          <cell r="N191" t="str">
            <v>JAWPK6355K</v>
          </cell>
          <cell r="O191">
            <v>37146.000115740739</v>
          </cell>
          <cell r="P191">
            <v>45217.000115740739</v>
          </cell>
          <cell r="Q191" t="str">
            <v>010032967636</v>
          </cell>
        </row>
        <row r="192">
          <cell r="C192">
            <v>50613020</v>
          </cell>
          <cell r="D192" t="str">
            <v xml:space="preserve">JEEVANANTHAM K  </v>
          </cell>
          <cell r="E192" t="str">
            <v>Male</v>
          </cell>
          <cell r="F192" t="str">
            <v>1-3</v>
          </cell>
          <cell r="G192">
            <v>30224982</v>
          </cell>
          <cell r="H192" t="str">
            <v>ABPM</v>
          </cell>
          <cell r="I192">
            <v>119</v>
          </cell>
          <cell r="J192" t="str">
            <v>Gramin Dak Sevaks</v>
          </cell>
          <cell r="K192">
            <v>29661942</v>
          </cell>
          <cell r="L192" t="str">
            <v>Puliyur Cement Factory S.O</v>
          </cell>
          <cell r="M192" t="str">
            <v>ABPM, Puliyur Cement Factory S.O</v>
          </cell>
          <cell r="N192" t="str">
            <v>BUWPJ7772B</v>
          </cell>
          <cell r="O192">
            <v>35002.000115740739</v>
          </cell>
          <cell r="P192">
            <v>45238.000115740739</v>
          </cell>
          <cell r="Q192" t="str">
            <v>34927440357</v>
          </cell>
        </row>
        <row r="193">
          <cell r="C193">
            <v>50613023</v>
          </cell>
          <cell r="D193" t="str">
            <v xml:space="preserve">DEBBORA SHARON P  </v>
          </cell>
          <cell r="E193" t="str">
            <v>Female</v>
          </cell>
          <cell r="F193" t="str">
            <v>1-3</v>
          </cell>
          <cell r="G193">
            <v>30145997</v>
          </cell>
          <cell r="H193" t="str">
            <v>BPM</v>
          </cell>
          <cell r="I193">
            <v>119</v>
          </cell>
          <cell r="J193" t="str">
            <v>Gramin Dak Sevaks</v>
          </cell>
          <cell r="K193">
            <v>29107006</v>
          </cell>
          <cell r="L193" t="str">
            <v>Velampadi B.O</v>
          </cell>
          <cell r="M193" t="str">
            <v>BPM, Velampadi B.O</v>
          </cell>
          <cell r="N193" t="str">
            <v>CBIPD8409H</v>
          </cell>
          <cell r="O193">
            <v>37356.000115740739</v>
          </cell>
          <cell r="P193">
            <v>45238.000115740739</v>
          </cell>
          <cell r="Q193" t="str">
            <v>010033648048</v>
          </cell>
        </row>
        <row r="194">
          <cell r="C194">
            <v>50613024</v>
          </cell>
          <cell r="D194" t="str">
            <v xml:space="preserve">PAVITHRA J  </v>
          </cell>
          <cell r="E194" t="str">
            <v>Female</v>
          </cell>
          <cell r="F194" t="str">
            <v>1-3</v>
          </cell>
          <cell r="G194">
            <v>30146087</v>
          </cell>
          <cell r="H194" t="str">
            <v>BPM</v>
          </cell>
          <cell r="I194">
            <v>119</v>
          </cell>
          <cell r="J194" t="str">
            <v>Gramin Dak Sevaks</v>
          </cell>
          <cell r="K194">
            <v>29106864</v>
          </cell>
          <cell r="L194" t="str">
            <v>Monjanur B.O</v>
          </cell>
          <cell r="M194" t="str">
            <v>BPM, Monjanur B.O</v>
          </cell>
          <cell r="N194" t="str">
            <v>HNKPP9714A</v>
          </cell>
          <cell r="O194">
            <v>36886.000115740739</v>
          </cell>
          <cell r="P194">
            <v>45238.000115740739</v>
          </cell>
          <cell r="Q194" t="str">
            <v>010028819500</v>
          </cell>
        </row>
        <row r="195">
          <cell r="C195">
            <v>50613025</v>
          </cell>
          <cell r="D195" t="str">
            <v xml:space="preserve">BHAVITHRA J  </v>
          </cell>
          <cell r="E195" t="str">
            <v>Female</v>
          </cell>
          <cell r="F195" t="str">
            <v>1-3</v>
          </cell>
          <cell r="G195">
            <v>30146042</v>
          </cell>
          <cell r="H195" t="str">
            <v>ABPM</v>
          </cell>
          <cell r="I195">
            <v>119</v>
          </cell>
          <cell r="J195" t="str">
            <v>Gramin Dak Sevaks</v>
          </cell>
          <cell r="K195">
            <v>29661915</v>
          </cell>
          <cell r="L195" t="str">
            <v>Andankoil S.O</v>
          </cell>
          <cell r="M195" t="str">
            <v>ABPM, Andankoil S.O</v>
          </cell>
          <cell r="N195" t="str">
            <v>ABCPD1234E</v>
          </cell>
          <cell r="O195">
            <v>38582.000115740739</v>
          </cell>
          <cell r="P195">
            <v>45238.000115740739</v>
          </cell>
          <cell r="Q195" t="str">
            <v>010033572956</v>
          </cell>
        </row>
        <row r="196">
          <cell r="C196">
            <v>50617218</v>
          </cell>
          <cell r="D196" t="str">
            <v>CHARUMATHI  M</v>
          </cell>
          <cell r="E196" t="str">
            <v>Female</v>
          </cell>
          <cell r="F196" t="str">
            <v>1-3</v>
          </cell>
          <cell r="G196">
            <v>30145981</v>
          </cell>
          <cell r="H196" t="str">
            <v>BPM</v>
          </cell>
          <cell r="I196">
            <v>119</v>
          </cell>
          <cell r="J196" t="str">
            <v>Gramin Dak Sevaks</v>
          </cell>
          <cell r="K196">
            <v>29106857</v>
          </cell>
          <cell r="L196" t="str">
            <v>Melapalayam B.O</v>
          </cell>
          <cell r="M196" t="str">
            <v>BPM, Melapalayam B.O</v>
          </cell>
          <cell r="N196" t="str">
            <v>BXKPC4928D</v>
          </cell>
          <cell r="O196">
            <v>35861.000115740739</v>
          </cell>
          <cell r="P196">
            <v>45243.000115740739</v>
          </cell>
          <cell r="Q196" t="str">
            <v>010033812958</v>
          </cell>
        </row>
        <row r="197">
          <cell r="C197">
            <v>50620166</v>
          </cell>
          <cell r="D197" t="str">
            <v xml:space="preserve">NITHEESH E  </v>
          </cell>
          <cell r="E197" t="str">
            <v>Male</v>
          </cell>
          <cell r="F197" t="str">
            <v>1-3</v>
          </cell>
          <cell r="G197">
            <v>30225411</v>
          </cell>
          <cell r="H197" t="str">
            <v>ABPM</v>
          </cell>
          <cell r="I197">
            <v>119</v>
          </cell>
          <cell r="J197" t="str">
            <v>Gramin Dak Sevaks</v>
          </cell>
          <cell r="K197">
            <v>29106975</v>
          </cell>
          <cell r="L197" t="str">
            <v>Thalapatti B.O</v>
          </cell>
          <cell r="M197" t="str">
            <v>ABPM, Thalapatti B.O</v>
          </cell>
          <cell r="N197" t="str">
            <v>BSBPN1416R</v>
          </cell>
          <cell r="O197">
            <v>36503.000115740739</v>
          </cell>
          <cell r="P197">
            <v>45261.000115740739</v>
          </cell>
          <cell r="Q197" t="str">
            <v>010034273690</v>
          </cell>
        </row>
        <row r="198">
          <cell r="C198">
            <v>50620284</v>
          </cell>
          <cell r="D198" t="str">
            <v>SHARMILA  P</v>
          </cell>
          <cell r="E198" t="str">
            <v>Female</v>
          </cell>
          <cell r="F198" t="str">
            <v>1-3</v>
          </cell>
          <cell r="G198">
            <v>30146111</v>
          </cell>
          <cell r="H198" t="str">
            <v>ABPM</v>
          </cell>
          <cell r="I198">
            <v>119</v>
          </cell>
          <cell r="J198" t="str">
            <v>Gramin Dak Sevaks</v>
          </cell>
          <cell r="K198">
            <v>29106822</v>
          </cell>
          <cell r="L198" t="str">
            <v>Kodanthur B.O</v>
          </cell>
          <cell r="M198" t="str">
            <v>ABPM, Kodanthur B.O</v>
          </cell>
          <cell r="N198" t="str">
            <v>LWUPS3905D</v>
          </cell>
          <cell r="O198">
            <v>36736.000115740739</v>
          </cell>
          <cell r="P198">
            <v>45261.000115740739</v>
          </cell>
          <cell r="Q198" t="str">
            <v>010034235913</v>
          </cell>
        </row>
        <row r="199">
          <cell r="C199">
            <v>50620285</v>
          </cell>
          <cell r="D199" t="str">
            <v>SARAVANAKUMAR  T</v>
          </cell>
          <cell r="E199" t="str">
            <v>Male</v>
          </cell>
          <cell r="F199" t="str">
            <v>1-2</v>
          </cell>
          <cell r="G199">
            <v>30145618</v>
          </cell>
          <cell r="H199" t="str">
            <v>ABPM</v>
          </cell>
          <cell r="I199">
            <v>119</v>
          </cell>
          <cell r="J199" t="str">
            <v>Gramin Dak Sevaks</v>
          </cell>
          <cell r="K199">
            <v>29106781</v>
          </cell>
          <cell r="L199" t="str">
            <v>Jegadabi B.O</v>
          </cell>
          <cell r="M199" t="str">
            <v>ABPM, Jegadabi B.O</v>
          </cell>
          <cell r="N199" t="str">
            <v>JEWPS2710Q</v>
          </cell>
          <cell r="O199">
            <v>36386.000115740739</v>
          </cell>
          <cell r="P199">
            <v>45261.000115740739</v>
          </cell>
          <cell r="Q199" t="str">
            <v>010034290288</v>
          </cell>
        </row>
        <row r="200">
          <cell r="C200">
            <v>50620288</v>
          </cell>
          <cell r="D200" t="str">
            <v>DARSHINI  B</v>
          </cell>
          <cell r="E200" t="str">
            <v>Female</v>
          </cell>
          <cell r="F200" t="str">
            <v>1-3</v>
          </cell>
          <cell r="G200">
            <v>30145723</v>
          </cell>
          <cell r="H200" t="str">
            <v>ABPM</v>
          </cell>
          <cell r="I200">
            <v>119</v>
          </cell>
          <cell r="J200" t="str">
            <v>Gramin Dak Sevaks</v>
          </cell>
          <cell r="K200">
            <v>29106984</v>
          </cell>
          <cell r="L200" t="str">
            <v>Thoranakkalpatti B.O</v>
          </cell>
          <cell r="M200" t="str">
            <v>ABPM, Thoranakkalpatti B.O</v>
          </cell>
          <cell r="N200" t="str">
            <v>GXRPB5516G</v>
          </cell>
          <cell r="O200">
            <v>37346.000115740739</v>
          </cell>
          <cell r="P200">
            <v>45261.000115740739</v>
          </cell>
          <cell r="Q200" t="str">
            <v>010034534060</v>
          </cell>
        </row>
        <row r="201">
          <cell r="C201">
            <v>50629515</v>
          </cell>
          <cell r="D201" t="str">
            <v>SUBIKSHA  S</v>
          </cell>
          <cell r="E201" t="str">
            <v>Female</v>
          </cell>
          <cell r="F201" t="str">
            <v>1-3</v>
          </cell>
          <cell r="G201">
            <v>30145699</v>
          </cell>
          <cell r="H201" t="str">
            <v>ABPM</v>
          </cell>
          <cell r="I201">
            <v>119</v>
          </cell>
          <cell r="J201" t="str">
            <v>Gramin Dak Sevaks</v>
          </cell>
          <cell r="K201">
            <v>29106990</v>
          </cell>
          <cell r="L201" t="str">
            <v>Uppidamangalam B.O</v>
          </cell>
          <cell r="M201" t="str">
            <v>ABPM, Uppidamangalam B.O</v>
          </cell>
          <cell r="N201" t="str">
            <v>ABCPD1234E</v>
          </cell>
          <cell r="O201">
            <v>36949.000115740739</v>
          </cell>
          <cell r="P201">
            <v>45292.000115740739</v>
          </cell>
          <cell r="Q201" t="str">
            <v>010035572389</v>
          </cell>
        </row>
        <row r="202">
          <cell r="C202">
            <v>50632530</v>
          </cell>
          <cell r="D202" t="str">
            <v>SENTHILKUMAR  M</v>
          </cell>
          <cell r="E202" t="str">
            <v>Male</v>
          </cell>
          <cell r="F202" t="str">
            <v>1-2</v>
          </cell>
          <cell r="G202">
            <v>30146102</v>
          </cell>
          <cell r="H202" t="str">
            <v>ABPM</v>
          </cell>
          <cell r="I202">
            <v>119</v>
          </cell>
          <cell r="J202" t="str">
            <v>Gramin Dak Sevaks</v>
          </cell>
          <cell r="K202">
            <v>29661957</v>
          </cell>
          <cell r="L202" t="str">
            <v>Velliyanai S.O</v>
          </cell>
          <cell r="M202" t="str">
            <v>ABPM, Velliyanai S.O</v>
          </cell>
          <cell r="N202" t="str">
            <v>HKCPS3366E</v>
          </cell>
          <cell r="O202">
            <v>28996.000115740742</v>
          </cell>
          <cell r="P202">
            <v>45315.000115740739</v>
          </cell>
          <cell r="Q202" t="str">
            <v>010035909340</v>
          </cell>
        </row>
        <row r="203">
          <cell r="C203">
            <v>50645662</v>
          </cell>
          <cell r="D203" t="str">
            <v>GOWRI  M</v>
          </cell>
          <cell r="E203" t="str">
            <v>Female</v>
          </cell>
          <cell r="F203" t="str">
            <v>1-2</v>
          </cell>
          <cell r="G203">
            <v>30145609</v>
          </cell>
          <cell r="H203" t="str">
            <v>Dak Sevak</v>
          </cell>
          <cell r="I203">
            <v>119</v>
          </cell>
          <cell r="J203" t="str">
            <v>Gramin Dak Sevaks</v>
          </cell>
          <cell r="K203">
            <v>29661916</v>
          </cell>
          <cell r="L203" t="str">
            <v>Aravakurichi S.O</v>
          </cell>
          <cell r="M203" t="str">
            <v>Dak Sevak, Aravakurichi S.O</v>
          </cell>
          <cell r="N203" t="str">
            <v>CVRPG7244Q</v>
          </cell>
          <cell r="O203">
            <v>35426.000115740739</v>
          </cell>
          <cell r="P203">
            <v>45555.000115740739</v>
          </cell>
          <cell r="Q203" t="str">
            <v>010033248608</v>
          </cell>
        </row>
        <row r="204">
          <cell r="C204">
            <v>50645663</v>
          </cell>
          <cell r="D204" t="str">
            <v>DHARANI  D</v>
          </cell>
          <cell r="E204" t="str">
            <v>Female</v>
          </cell>
          <cell r="F204" t="str">
            <v>1-2</v>
          </cell>
          <cell r="G204">
            <v>30145947</v>
          </cell>
          <cell r="H204" t="str">
            <v>BPM</v>
          </cell>
          <cell r="I204">
            <v>119</v>
          </cell>
          <cell r="J204" t="str">
            <v>Gramin Dak Sevaks</v>
          </cell>
          <cell r="K204">
            <v>29106936</v>
          </cell>
          <cell r="L204" t="str">
            <v>Punjaikalakurichi B.O</v>
          </cell>
          <cell r="M204" t="str">
            <v>BPM, Punjaikalakurichi B.O</v>
          </cell>
          <cell r="N204" t="str">
            <v>IBRPD8647G</v>
          </cell>
          <cell r="O204">
            <v>37433.000115740739</v>
          </cell>
          <cell r="P204">
            <v>45555.000115740739</v>
          </cell>
          <cell r="Q204" t="str">
            <v>010033783548</v>
          </cell>
        </row>
        <row r="205">
          <cell r="C205">
            <v>50645665</v>
          </cell>
          <cell r="D205" t="str">
            <v>NARMATHA  R</v>
          </cell>
          <cell r="E205" t="str">
            <v>Female</v>
          </cell>
          <cell r="F205" t="str">
            <v>1-2</v>
          </cell>
          <cell r="G205">
            <v>30146089</v>
          </cell>
          <cell r="H205" t="str">
            <v>ABPM</v>
          </cell>
          <cell r="I205">
            <v>119</v>
          </cell>
          <cell r="J205" t="str">
            <v>Gramin Dak Sevaks</v>
          </cell>
          <cell r="K205">
            <v>29106798</v>
          </cell>
          <cell r="L205" t="str">
            <v>Kannivadi B.O</v>
          </cell>
          <cell r="M205" t="str">
            <v>ABPM, Kannivadi B.O</v>
          </cell>
          <cell r="N205" t="str">
            <v>DFHPN2551G</v>
          </cell>
          <cell r="O205">
            <v>37340.000115740739</v>
          </cell>
          <cell r="P205">
            <v>45555.000115740739</v>
          </cell>
          <cell r="Q205" t="str">
            <v>010045036764</v>
          </cell>
        </row>
        <row r="206">
          <cell r="C206">
            <v>50645666</v>
          </cell>
          <cell r="D206" t="str">
            <v>RAJALAKSHMI  V</v>
          </cell>
          <cell r="E206" t="str">
            <v>Female</v>
          </cell>
          <cell r="F206" t="str">
            <v>1-2</v>
          </cell>
          <cell r="G206">
            <v>30145862</v>
          </cell>
          <cell r="H206" t="str">
            <v>ABPM</v>
          </cell>
          <cell r="I206">
            <v>119</v>
          </cell>
          <cell r="J206" t="str">
            <v>Gramin Dak Sevaks</v>
          </cell>
          <cell r="K206">
            <v>29106888</v>
          </cell>
          <cell r="L206" t="str">
            <v>Nanjaithalaiyur B.O</v>
          </cell>
          <cell r="M206" t="str">
            <v>ABPM, Nanjaithalaiyur B.O</v>
          </cell>
          <cell r="N206" t="str">
            <v>CRDPR0330Q</v>
          </cell>
          <cell r="O206">
            <v>35746.000115740739</v>
          </cell>
          <cell r="P206">
            <v>45555.000115740739</v>
          </cell>
          <cell r="Q206" t="str">
            <v>010045039109</v>
          </cell>
        </row>
        <row r="207">
          <cell r="C207">
            <v>50645667</v>
          </cell>
          <cell r="D207" t="str">
            <v>PRIYADHARSHINI  G</v>
          </cell>
          <cell r="E207" t="str">
            <v>Female</v>
          </cell>
          <cell r="F207" t="str">
            <v>1-2</v>
          </cell>
          <cell r="G207">
            <v>30145810</v>
          </cell>
          <cell r="H207" t="str">
            <v>ABPM</v>
          </cell>
          <cell r="I207">
            <v>119</v>
          </cell>
          <cell r="J207" t="str">
            <v>Gramin Dak Sevaks</v>
          </cell>
          <cell r="K207">
            <v>29106743</v>
          </cell>
          <cell r="L207" t="str">
            <v>Ammapatti B.O</v>
          </cell>
          <cell r="M207" t="str">
            <v>ABPM, Ammapatti B.O</v>
          </cell>
          <cell r="N207" t="str">
            <v>IIGPP4446F</v>
          </cell>
          <cell r="O207">
            <v>36468.000115740739</v>
          </cell>
          <cell r="P207">
            <v>45555.000115740739</v>
          </cell>
          <cell r="Q207" t="str">
            <v>010044855281</v>
          </cell>
        </row>
        <row r="208">
          <cell r="C208">
            <v>50645668</v>
          </cell>
          <cell r="D208" t="str">
            <v>PAVITHRA  N</v>
          </cell>
          <cell r="E208" t="str">
            <v>Female</v>
          </cell>
          <cell r="F208" t="str">
            <v>1-2</v>
          </cell>
          <cell r="G208">
            <v>30224981</v>
          </cell>
          <cell r="H208" t="str">
            <v>ABPM</v>
          </cell>
          <cell r="I208">
            <v>119</v>
          </cell>
          <cell r="J208" t="str">
            <v>Gramin Dak Sevaks</v>
          </cell>
          <cell r="K208">
            <v>29107019</v>
          </cell>
          <cell r="L208" t="str">
            <v>Zamin Athur B.O</v>
          </cell>
          <cell r="M208" t="str">
            <v>ABPM, Zamin Athur B.O</v>
          </cell>
          <cell r="N208" t="str">
            <v>EMMPP2756N</v>
          </cell>
          <cell r="O208">
            <v>36803.000115740739</v>
          </cell>
          <cell r="P208">
            <v>45555.000115740739</v>
          </cell>
          <cell r="Q208" t="str">
            <v>010044854340</v>
          </cell>
        </row>
        <row r="209">
          <cell r="C209">
            <v>50645669</v>
          </cell>
          <cell r="D209" t="str">
            <v>MADHUBALAN  T</v>
          </cell>
          <cell r="E209" t="str">
            <v>Male</v>
          </cell>
          <cell r="F209" t="str">
            <v>1-2</v>
          </cell>
          <cell r="G209">
            <v>30146054</v>
          </cell>
          <cell r="H209" t="str">
            <v>BPM</v>
          </cell>
          <cell r="I209">
            <v>119</v>
          </cell>
          <cell r="J209" t="str">
            <v>Gramin Dak Sevaks</v>
          </cell>
          <cell r="K209">
            <v>29106940</v>
          </cell>
          <cell r="L209" t="str">
            <v>Punnamchatram B.O</v>
          </cell>
          <cell r="M209" t="str">
            <v>BPM, Punnamchatram B.O</v>
          </cell>
          <cell r="N209" t="str">
            <v>EKRPM3753B</v>
          </cell>
          <cell r="O209">
            <v>36400.000115740739</v>
          </cell>
          <cell r="P209">
            <v>45555.000115740739</v>
          </cell>
          <cell r="Q209" t="str">
            <v>3507777468</v>
          </cell>
        </row>
        <row r="210">
          <cell r="C210">
            <v>50645671</v>
          </cell>
          <cell r="D210" t="str">
            <v>SONIYABHARATHI  S</v>
          </cell>
          <cell r="E210" t="str">
            <v>Female</v>
          </cell>
          <cell r="F210" t="str">
            <v>1-2</v>
          </cell>
          <cell r="G210">
            <v>30146049</v>
          </cell>
          <cell r="H210" t="str">
            <v>GDS Deliver Agent</v>
          </cell>
          <cell r="I210">
            <v>119</v>
          </cell>
          <cell r="J210" t="str">
            <v>Gramin Dak Sevaks</v>
          </cell>
          <cell r="K210">
            <v>29661936</v>
          </cell>
          <cell r="L210" t="str">
            <v>Pallapatti Bazaar S.O</v>
          </cell>
          <cell r="M210" t="str">
            <v>GDS Deliver Agent, Pallapatti Bazaar S.O</v>
          </cell>
          <cell r="N210" t="str">
            <v>ORBPS4346M</v>
          </cell>
          <cell r="O210">
            <v>36919.000115740739</v>
          </cell>
          <cell r="P210">
            <v>45555.000115740739</v>
          </cell>
          <cell r="Q210" t="str">
            <v>010044921459</v>
          </cell>
        </row>
        <row r="211">
          <cell r="C211">
            <v>50645672</v>
          </cell>
          <cell r="D211" t="str">
            <v>DHIVYASHREE  K</v>
          </cell>
          <cell r="E211" t="str">
            <v>Female</v>
          </cell>
          <cell r="F211" t="str">
            <v>1-2</v>
          </cell>
          <cell r="G211">
            <v>30145627</v>
          </cell>
          <cell r="H211" t="str">
            <v>ABPM</v>
          </cell>
          <cell r="I211">
            <v>119</v>
          </cell>
          <cell r="J211" t="str">
            <v>Gramin Dak Sevaks</v>
          </cell>
          <cell r="K211">
            <v>29106734</v>
          </cell>
          <cell r="L211" t="str">
            <v>A.Meenakshivalasu B.O</v>
          </cell>
          <cell r="M211" t="str">
            <v>ABPM, A.Meenakshivalasu B.O</v>
          </cell>
          <cell r="N211" t="str">
            <v>JXTPD9690A</v>
          </cell>
          <cell r="O211">
            <v>37183.000115740739</v>
          </cell>
          <cell r="P211">
            <v>45555.000115740739</v>
          </cell>
          <cell r="Q211" t="str">
            <v>010044916222</v>
          </cell>
        </row>
        <row r="212">
          <cell r="C212">
            <v>50645673</v>
          </cell>
          <cell r="D212" t="str">
            <v>NANDHINI  N</v>
          </cell>
          <cell r="E212" t="str">
            <v>Female</v>
          </cell>
          <cell r="F212" t="str">
            <v>1-2</v>
          </cell>
          <cell r="G212">
            <v>30225056</v>
          </cell>
          <cell r="H212" t="str">
            <v>ABPM</v>
          </cell>
          <cell r="I212">
            <v>119</v>
          </cell>
          <cell r="J212" t="str">
            <v>Gramin Dak Sevaks</v>
          </cell>
          <cell r="K212">
            <v>29106862</v>
          </cell>
          <cell r="L212" t="str">
            <v>Modakkur B.O</v>
          </cell>
          <cell r="M212" t="str">
            <v>ABPM, Modakkur B.O</v>
          </cell>
          <cell r="N212" t="str">
            <v>DKIPN6419M</v>
          </cell>
          <cell r="O212">
            <v>36226.000115740739</v>
          </cell>
          <cell r="P212">
            <v>45555.000115740739</v>
          </cell>
          <cell r="Q212" t="str">
            <v>010045054713</v>
          </cell>
        </row>
        <row r="213">
          <cell r="C213">
            <v>50645675</v>
          </cell>
          <cell r="D213" t="str">
            <v>KAVIYAPRIYA  B</v>
          </cell>
          <cell r="E213" t="str">
            <v>Female</v>
          </cell>
          <cell r="F213" t="str">
            <v>1-2</v>
          </cell>
          <cell r="G213">
            <v>30225174</v>
          </cell>
          <cell r="H213" t="str">
            <v>BPM</v>
          </cell>
          <cell r="I213">
            <v>119</v>
          </cell>
          <cell r="J213" t="str">
            <v>Gramin Dak Sevaks</v>
          </cell>
          <cell r="K213">
            <v>29106878</v>
          </cell>
          <cell r="L213" t="str">
            <v>Nadanthai North B.O</v>
          </cell>
          <cell r="M213" t="str">
            <v>BPM, Nadanthai North B.O</v>
          </cell>
          <cell r="N213" t="str">
            <v>GGTPB5096L</v>
          </cell>
          <cell r="O213">
            <v>37352.000115740739</v>
          </cell>
          <cell r="P213">
            <v>45555.000115740739</v>
          </cell>
          <cell r="Q213" t="str">
            <v>010044854189</v>
          </cell>
        </row>
        <row r="214">
          <cell r="C214">
            <v>50645676</v>
          </cell>
          <cell r="D214" t="str">
            <v>BHAMATHI  P</v>
          </cell>
          <cell r="E214" t="str">
            <v>Female</v>
          </cell>
          <cell r="F214" t="str">
            <v>1-1</v>
          </cell>
          <cell r="G214">
            <v>30146035</v>
          </cell>
          <cell r="H214" t="str">
            <v>ABPM</v>
          </cell>
          <cell r="I214">
            <v>119</v>
          </cell>
          <cell r="J214" t="str">
            <v>Gramin Dak Sevaks</v>
          </cell>
          <cell r="K214">
            <v>29106908</v>
          </cell>
          <cell r="L214" t="str">
            <v>Panjamadevi B.O</v>
          </cell>
          <cell r="M214" t="str">
            <v>ABPM, Panjamadevi B.O</v>
          </cell>
          <cell r="N214" t="str">
            <v>DXVPB2001K</v>
          </cell>
          <cell r="O214">
            <v>36558.000115740739</v>
          </cell>
          <cell r="P214">
            <v>45555.000115740739</v>
          </cell>
          <cell r="Q214" t="str">
            <v>010044852847</v>
          </cell>
        </row>
        <row r="215">
          <cell r="C215">
            <v>50645678</v>
          </cell>
          <cell r="D215" t="str">
            <v>NIVEEISHNAA  P V</v>
          </cell>
          <cell r="E215" t="str">
            <v>Female</v>
          </cell>
          <cell r="F215" t="str">
            <v>1-2</v>
          </cell>
          <cell r="G215">
            <v>30145895</v>
          </cell>
          <cell r="H215" t="str">
            <v>ABPM</v>
          </cell>
          <cell r="I215">
            <v>119</v>
          </cell>
          <cell r="J215" t="str">
            <v>Gramin Dak Sevaks</v>
          </cell>
          <cell r="K215">
            <v>29106889</v>
          </cell>
          <cell r="L215" t="str">
            <v>Nanniyur B.O</v>
          </cell>
          <cell r="M215" t="str">
            <v>ABPM, Nanniyur B.O</v>
          </cell>
          <cell r="N215" t="str">
            <v>CTWPN1195G</v>
          </cell>
          <cell r="O215">
            <v>36394.000115740739</v>
          </cell>
          <cell r="P215">
            <v>45555.000115740739</v>
          </cell>
          <cell r="Q215" t="str">
            <v>4023516487</v>
          </cell>
        </row>
        <row r="216">
          <cell r="C216">
            <v>50645679</v>
          </cell>
          <cell r="D216" t="str">
            <v>MANOJINI  M</v>
          </cell>
          <cell r="E216" t="str">
            <v>Female</v>
          </cell>
          <cell r="F216" t="str">
            <v>1-2</v>
          </cell>
          <cell r="G216">
            <v>30145986</v>
          </cell>
          <cell r="H216" t="str">
            <v>BPM</v>
          </cell>
          <cell r="I216">
            <v>119</v>
          </cell>
          <cell r="J216" t="str">
            <v>Gramin Dak Sevaks</v>
          </cell>
          <cell r="K216">
            <v>29106970</v>
          </cell>
          <cell r="L216" t="str">
            <v>Somur B.O</v>
          </cell>
          <cell r="M216" t="str">
            <v>BPM, Somur B.O</v>
          </cell>
          <cell r="N216" t="str">
            <v>IKLPM8102C</v>
          </cell>
          <cell r="O216">
            <v>38506.000115740739</v>
          </cell>
          <cell r="P216">
            <v>45555.000115740739</v>
          </cell>
          <cell r="Q216" t="str">
            <v>010031975552</v>
          </cell>
        </row>
        <row r="217">
          <cell r="C217">
            <v>50645680</v>
          </cell>
          <cell r="D217" t="str">
            <v>DAFFODIL JE  K R</v>
          </cell>
          <cell r="E217" t="str">
            <v>Female</v>
          </cell>
          <cell r="F217" t="str">
            <v>1-2</v>
          </cell>
          <cell r="G217">
            <v>30146091</v>
          </cell>
          <cell r="H217" t="str">
            <v>ABPM</v>
          </cell>
          <cell r="I217">
            <v>119</v>
          </cell>
          <cell r="J217" t="str">
            <v>Gramin Dak Sevaks</v>
          </cell>
          <cell r="K217">
            <v>29106933</v>
          </cell>
          <cell r="L217" t="str">
            <v>Puliyur B.O</v>
          </cell>
          <cell r="M217" t="str">
            <v>ABPM, Puliyur B.O</v>
          </cell>
          <cell r="N217" t="str">
            <v>GEVPR4927C</v>
          </cell>
          <cell r="O217">
            <v>36814.000115740739</v>
          </cell>
          <cell r="P217">
            <v>45555.000115740739</v>
          </cell>
          <cell r="Q217" t="str">
            <v>010002906425</v>
          </cell>
        </row>
        <row r="218">
          <cell r="C218">
            <v>50645681</v>
          </cell>
          <cell r="D218" t="str">
            <v>HARISHINI  K</v>
          </cell>
          <cell r="E218" t="str">
            <v>Female</v>
          </cell>
          <cell r="F218" t="str">
            <v>1-2</v>
          </cell>
          <cell r="G218">
            <v>30145681</v>
          </cell>
          <cell r="H218" t="str">
            <v>ABPM</v>
          </cell>
          <cell r="I218">
            <v>119</v>
          </cell>
          <cell r="J218" t="str">
            <v>Gramin Dak Sevaks</v>
          </cell>
          <cell r="K218">
            <v>29106775</v>
          </cell>
          <cell r="L218" t="str">
            <v>Gudalur B.O</v>
          </cell>
          <cell r="M218" t="str">
            <v>ABPM, Gudalur B.O</v>
          </cell>
          <cell r="N218" t="str">
            <v>ANPPH3990L</v>
          </cell>
          <cell r="O218">
            <v>35973.000115740739</v>
          </cell>
          <cell r="P218">
            <v>45555.000115740739</v>
          </cell>
          <cell r="Q218" t="str">
            <v>010044936692</v>
          </cell>
        </row>
        <row r="219">
          <cell r="C219">
            <v>50645682</v>
          </cell>
          <cell r="D219" t="str">
            <v>KAVYA  R</v>
          </cell>
          <cell r="E219" t="str">
            <v>Female</v>
          </cell>
          <cell r="F219" t="str">
            <v>1-2</v>
          </cell>
          <cell r="G219">
            <v>30146120</v>
          </cell>
          <cell r="H219" t="str">
            <v>BPM</v>
          </cell>
          <cell r="I219">
            <v>119</v>
          </cell>
          <cell r="J219" t="str">
            <v>Gramin Dak Sevaks</v>
          </cell>
          <cell r="K219">
            <v>29106821</v>
          </cell>
          <cell r="L219" t="str">
            <v>Kodangipatti B.O</v>
          </cell>
          <cell r="M219" t="str">
            <v>BPM, Kodangipatti B.O</v>
          </cell>
          <cell r="N219" t="str">
            <v>JJGPK4273P</v>
          </cell>
          <cell r="O219">
            <v>36409.000115740739</v>
          </cell>
          <cell r="P219">
            <v>45555.000115740739</v>
          </cell>
          <cell r="Q219" t="str">
            <v>010002680247</v>
          </cell>
        </row>
        <row r="220">
          <cell r="C220">
            <v>50645685</v>
          </cell>
          <cell r="D220" t="str">
            <v>KEERTHANA  S</v>
          </cell>
          <cell r="E220" t="str">
            <v>Female</v>
          </cell>
          <cell r="F220" t="str">
            <v>1-2</v>
          </cell>
          <cell r="G220">
            <v>30146043</v>
          </cell>
          <cell r="H220" t="str">
            <v>BPM</v>
          </cell>
          <cell r="I220">
            <v>119</v>
          </cell>
          <cell r="J220" t="str">
            <v>Gramin Dak Sevaks</v>
          </cell>
          <cell r="K220">
            <v>29106786</v>
          </cell>
          <cell r="L220" t="str">
            <v>Kadaparai B.O</v>
          </cell>
          <cell r="M220" t="str">
            <v>BPM, Kadaparai B.O</v>
          </cell>
          <cell r="N220" t="str">
            <v>ABCPD1234E</v>
          </cell>
          <cell r="O220">
            <v>36789.000115740739</v>
          </cell>
          <cell r="P220">
            <v>45555.000115740739</v>
          </cell>
          <cell r="Q220" t="str">
            <v>010044985461</v>
          </cell>
        </row>
        <row r="221">
          <cell r="C221">
            <v>50645809</v>
          </cell>
          <cell r="D221" t="str">
            <v xml:space="preserve">Gobika B  </v>
          </cell>
          <cell r="E221" t="str">
            <v>Female</v>
          </cell>
          <cell r="F221" t="str">
            <v>1-2</v>
          </cell>
          <cell r="G221">
            <v>30145737</v>
          </cell>
          <cell r="H221" t="str">
            <v>BPM</v>
          </cell>
          <cell r="I221">
            <v>119</v>
          </cell>
          <cell r="J221" t="str">
            <v>Gramin Dak Sevaks</v>
          </cell>
          <cell r="K221">
            <v>29106925</v>
          </cell>
          <cell r="L221" t="str">
            <v>Poolampalayam B.O</v>
          </cell>
          <cell r="M221" t="str">
            <v>BPM, Poolampalayam B.O</v>
          </cell>
          <cell r="N221" t="str">
            <v>ESEPG1718M</v>
          </cell>
          <cell r="O221">
            <v>37420.000115740739</v>
          </cell>
          <cell r="P221">
            <v>45555.000115740739</v>
          </cell>
          <cell r="Q221" t="str">
            <v>010044852741</v>
          </cell>
        </row>
        <row r="222">
          <cell r="C222">
            <v>50645824</v>
          </cell>
          <cell r="D222" t="str">
            <v xml:space="preserve">Logeshwaran K  </v>
          </cell>
          <cell r="E222" t="str">
            <v>Male</v>
          </cell>
          <cell r="F222" t="str">
            <v>1-2</v>
          </cell>
          <cell r="G222">
            <v>30145958</v>
          </cell>
          <cell r="H222" t="str">
            <v>Dak Sevak</v>
          </cell>
          <cell r="I222">
            <v>119</v>
          </cell>
          <cell r="J222" t="str">
            <v>Gramin Dak Sevaks</v>
          </cell>
          <cell r="K222">
            <v>29661941</v>
          </cell>
          <cell r="L222" t="str">
            <v>Pugalur Sugar Factory S.O</v>
          </cell>
          <cell r="M222" t="str">
            <v>Dak Sevak, Pugalur Sugar Factory S.O</v>
          </cell>
          <cell r="N222" t="str">
            <v>BCDPL2684R</v>
          </cell>
          <cell r="O222">
            <v>36048.000115740739</v>
          </cell>
          <cell r="P222">
            <v>45555.000115740739</v>
          </cell>
          <cell r="Q222" t="str">
            <v>010044855437</v>
          </cell>
        </row>
        <row r="223">
          <cell r="C223">
            <v>50645835</v>
          </cell>
          <cell r="D223" t="str">
            <v xml:space="preserve">Dharshini N  </v>
          </cell>
          <cell r="E223" t="str">
            <v>Female</v>
          </cell>
          <cell r="F223" t="str">
            <v>1-2</v>
          </cell>
          <cell r="G223">
            <v>30145656</v>
          </cell>
          <cell r="H223" t="str">
            <v>ABPM</v>
          </cell>
          <cell r="I223">
            <v>119</v>
          </cell>
          <cell r="J223" t="str">
            <v>Gramin Dak Sevaks</v>
          </cell>
          <cell r="K223">
            <v>29106970</v>
          </cell>
          <cell r="L223" t="str">
            <v>Somur B.O</v>
          </cell>
          <cell r="M223" t="str">
            <v>ABPM, Somur B.O</v>
          </cell>
          <cell r="N223" t="str">
            <v>CWKPD6149K</v>
          </cell>
          <cell r="O223">
            <v>36144.000115740739</v>
          </cell>
          <cell r="P223">
            <v>45555.000115740739</v>
          </cell>
          <cell r="Q223" t="str">
            <v>4944033957</v>
          </cell>
        </row>
        <row r="224">
          <cell r="C224">
            <v>50653043</v>
          </cell>
          <cell r="D224" t="str">
            <v xml:space="preserve">SOWNDARYA S  </v>
          </cell>
          <cell r="E224" t="str">
            <v>Female</v>
          </cell>
          <cell r="F224" t="str">
            <v>1-2</v>
          </cell>
          <cell r="G224">
            <v>30145694</v>
          </cell>
          <cell r="H224" t="str">
            <v>BPM</v>
          </cell>
          <cell r="I224">
            <v>119</v>
          </cell>
          <cell r="J224" t="str">
            <v>Gramin Dak Sevaks</v>
          </cell>
          <cell r="K224">
            <v>29106739</v>
          </cell>
          <cell r="L224" t="str">
            <v>Alamarathupatti B.O</v>
          </cell>
          <cell r="M224" t="str">
            <v>BPM, Alamarathupatti B.O</v>
          </cell>
          <cell r="N224" t="str">
            <v>NLEPS9106R</v>
          </cell>
          <cell r="O224">
            <v>35337.000115740739</v>
          </cell>
          <cell r="P224">
            <v>45597.000115740739</v>
          </cell>
          <cell r="Q224" t="str">
            <v>010046208936</v>
          </cell>
        </row>
        <row r="225">
          <cell r="C225">
            <v>50653044</v>
          </cell>
          <cell r="D225" t="str">
            <v>VIVEKA  S</v>
          </cell>
          <cell r="E225" t="str">
            <v>Female</v>
          </cell>
          <cell r="F225" t="str">
            <v>1-2</v>
          </cell>
          <cell r="G225">
            <v>30145789</v>
          </cell>
          <cell r="H225" t="str">
            <v>BPM</v>
          </cell>
          <cell r="I225">
            <v>119</v>
          </cell>
          <cell r="J225" t="str">
            <v>Gramin Dak Sevaks</v>
          </cell>
          <cell r="K225">
            <v>29106752</v>
          </cell>
          <cell r="L225" t="str">
            <v>Athur B.O</v>
          </cell>
          <cell r="M225" t="str">
            <v>BPM, Athur B.O</v>
          </cell>
          <cell r="N225" t="str">
            <v>ABCPD1234E</v>
          </cell>
          <cell r="O225">
            <v>36889.000115740739</v>
          </cell>
          <cell r="P225">
            <v>45597.000115740739</v>
          </cell>
          <cell r="Q225" t="str">
            <v>010046426729</v>
          </cell>
        </row>
        <row r="226">
          <cell r="C226">
            <v>50653045</v>
          </cell>
          <cell r="D226" t="str">
            <v>MADHUSRI  R</v>
          </cell>
          <cell r="E226" t="str">
            <v>Female</v>
          </cell>
          <cell r="F226" t="str">
            <v>1-1</v>
          </cell>
          <cell r="G226">
            <v>30146045</v>
          </cell>
          <cell r="H226" t="str">
            <v>BPM</v>
          </cell>
          <cell r="I226">
            <v>119</v>
          </cell>
          <cell r="J226" t="str">
            <v>Gramin Dak Sevaks</v>
          </cell>
          <cell r="K226">
            <v>29106971</v>
          </cell>
          <cell r="L226" t="str">
            <v>Soolapuram B.O</v>
          </cell>
          <cell r="M226" t="str">
            <v>BPM, Soolapuram B.O</v>
          </cell>
          <cell r="N226" t="str">
            <v>FYGPR8552D</v>
          </cell>
          <cell r="O226">
            <v>36876.000115740739</v>
          </cell>
          <cell r="P226">
            <v>45597.000115740739</v>
          </cell>
          <cell r="Q226" t="str">
            <v>010046322962</v>
          </cell>
        </row>
        <row r="227">
          <cell r="C227">
            <v>50653047</v>
          </cell>
          <cell r="D227" t="str">
            <v>PONNIKILA  V R</v>
          </cell>
          <cell r="E227" t="str">
            <v>Female</v>
          </cell>
          <cell r="F227" t="str">
            <v>1-2</v>
          </cell>
          <cell r="G227">
            <v>30224997</v>
          </cell>
          <cell r="H227" t="str">
            <v>GDS Mail Carrier</v>
          </cell>
          <cell r="I227">
            <v>119</v>
          </cell>
          <cell r="J227" t="str">
            <v>Gramin Dak Sevaks</v>
          </cell>
          <cell r="K227">
            <v>29107000</v>
          </cell>
          <cell r="L227" t="str">
            <v>Varikkapatti B.O</v>
          </cell>
          <cell r="M227" t="str">
            <v>GDS Mail Carrier, Varikkapatti B.O</v>
          </cell>
          <cell r="N227" t="str">
            <v>HBGPP2483G</v>
          </cell>
          <cell r="O227">
            <v>37133.000115740739</v>
          </cell>
          <cell r="P227">
            <v>45597.000115740739</v>
          </cell>
          <cell r="Q227" t="str">
            <v>010046595143</v>
          </cell>
        </row>
        <row r="228">
          <cell r="C228">
            <v>50653049</v>
          </cell>
          <cell r="D228" t="str">
            <v>KANIMOZHI  J</v>
          </cell>
          <cell r="E228" t="str">
            <v>Female</v>
          </cell>
          <cell r="F228" t="str">
            <v>1-2</v>
          </cell>
          <cell r="G228">
            <v>30146090</v>
          </cell>
          <cell r="H228" t="str">
            <v>ABPM</v>
          </cell>
          <cell r="I228">
            <v>119</v>
          </cell>
          <cell r="J228" t="str">
            <v>Gramin Dak Sevaks</v>
          </cell>
          <cell r="K228">
            <v>29661958</v>
          </cell>
          <cell r="L228" t="str">
            <v>Vengamedu S.O</v>
          </cell>
          <cell r="M228" t="str">
            <v>ABPM, Vengamedu S.O</v>
          </cell>
          <cell r="N228" t="str">
            <v>CHOPJ9168H</v>
          </cell>
          <cell r="O228">
            <v>37374.000115740739</v>
          </cell>
          <cell r="P228">
            <v>45597.000115740739</v>
          </cell>
          <cell r="Q228" t="str">
            <v>010046460608</v>
          </cell>
        </row>
        <row r="229">
          <cell r="C229">
            <v>50653050</v>
          </cell>
          <cell r="D229" t="str">
            <v>PRITHIKA  M</v>
          </cell>
          <cell r="E229" t="str">
            <v>Female</v>
          </cell>
          <cell r="F229" t="str">
            <v>1-2</v>
          </cell>
          <cell r="G229">
            <v>30146005</v>
          </cell>
          <cell r="H229" t="str">
            <v>ABPM</v>
          </cell>
          <cell r="I229">
            <v>119</v>
          </cell>
          <cell r="J229" t="str">
            <v>Gramin Dak Sevaks</v>
          </cell>
          <cell r="K229">
            <v>29106867</v>
          </cell>
          <cell r="L229" t="str">
            <v>Mudiganam B.O</v>
          </cell>
          <cell r="M229" t="str">
            <v>ABPM, Mudiganam B.O</v>
          </cell>
          <cell r="N229" t="str">
            <v>ILLPP7097C</v>
          </cell>
          <cell r="O229">
            <v>36175.000115740739</v>
          </cell>
          <cell r="P229">
            <v>45597.000115740739</v>
          </cell>
          <cell r="Q229" t="str">
            <v>010046341275</v>
          </cell>
        </row>
        <row r="230">
          <cell r="C230">
            <v>50653128</v>
          </cell>
          <cell r="D230" t="str">
            <v>SRIMATHI SELVI  A</v>
          </cell>
          <cell r="E230" t="str">
            <v>Female</v>
          </cell>
          <cell r="F230" t="str">
            <v>1-2</v>
          </cell>
          <cell r="G230">
            <v>30146109</v>
          </cell>
          <cell r="H230" t="str">
            <v>BPM</v>
          </cell>
          <cell r="I230">
            <v>119</v>
          </cell>
          <cell r="J230" t="str">
            <v>Gramin Dak Sevaks</v>
          </cell>
          <cell r="K230">
            <v>29107004</v>
          </cell>
          <cell r="L230" t="str">
            <v>Veerarakkiam B.O</v>
          </cell>
          <cell r="M230" t="str">
            <v>BPM, Veerarakkiam B.O</v>
          </cell>
          <cell r="N230" t="str">
            <v>OBIPS1594E</v>
          </cell>
          <cell r="O230">
            <v>36839.000115740739</v>
          </cell>
          <cell r="P230">
            <v>45597.000115740739</v>
          </cell>
          <cell r="Q230" t="str">
            <v>010028836171</v>
          </cell>
        </row>
        <row r="231">
          <cell r="C231">
            <v>50653149</v>
          </cell>
          <cell r="D231" t="str">
            <v>MONIHA  G H</v>
          </cell>
          <cell r="E231" t="str">
            <v>Female</v>
          </cell>
          <cell r="F231" t="str">
            <v>1-2</v>
          </cell>
          <cell r="G231">
            <v>30146076</v>
          </cell>
          <cell r="H231" t="str">
            <v>BPM</v>
          </cell>
          <cell r="I231">
            <v>119</v>
          </cell>
          <cell r="J231" t="str">
            <v>Gramin Dak Sevaks</v>
          </cell>
          <cell r="K231">
            <v>29106767</v>
          </cell>
          <cell r="L231" t="str">
            <v>Edakkalpadi B.O</v>
          </cell>
          <cell r="M231" t="str">
            <v>BPM, Edakkalpadi B.O</v>
          </cell>
          <cell r="N231" t="str">
            <v>FNAPM8777C</v>
          </cell>
          <cell r="O231">
            <v>36631.000115740739</v>
          </cell>
          <cell r="P231">
            <v>45597.000115740739</v>
          </cell>
          <cell r="Q231" t="str">
            <v>4452153833</v>
          </cell>
        </row>
        <row r="232">
          <cell r="C232">
            <v>50662883</v>
          </cell>
          <cell r="D232" t="str">
            <v>HARITHA  S</v>
          </cell>
          <cell r="E232" t="str">
            <v>Female</v>
          </cell>
          <cell r="F232" t="str">
            <v>1-2</v>
          </cell>
          <cell r="G232">
            <v>30145931</v>
          </cell>
          <cell r="H232" t="str">
            <v>BPM</v>
          </cell>
          <cell r="I232">
            <v>119</v>
          </cell>
          <cell r="J232" t="str">
            <v>Gramin Dak Sevaks</v>
          </cell>
          <cell r="K232">
            <v>29106806</v>
          </cell>
          <cell r="L232" t="str">
            <v>Karunellivalasu B.O</v>
          </cell>
          <cell r="M232" t="str">
            <v>BPM, Karunellivalasu B.O</v>
          </cell>
          <cell r="N232" t="str">
            <v>AUXPH8487M</v>
          </cell>
          <cell r="O232">
            <v>36655.000115740739</v>
          </cell>
          <cell r="P232">
            <v>45617.000115740739</v>
          </cell>
          <cell r="Q232" t="str">
            <v>010047198298</v>
          </cell>
        </row>
        <row r="233">
          <cell r="C233">
            <v>50662885</v>
          </cell>
          <cell r="D233" t="str">
            <v>THARUNA  S</v>
          </cell>
          <cell r="E233" t="str">
            <v>Female</v>
          </cell>
          <cell r="F233" t="str">
            <v>1-2</v>
          </cell>
          <cell r="G233">
            <v>30145605</v>
          </cell>
          <cell r="H233" t="str">
            <v>BPM</v>
          </cell>
          <cell r="I233">
            <v>119</v>
          </cell>
          <cell r="J233" t="str">
            <v>Gramin Dak Sevaks</v>
          </cell>
          <cell r="K233">
            <v>29106758</v>
          </cell>
          <cell r="L233" t="str">
            <v>Chinnamookkanankurichi B.O</v>
          </cell>
          <cell r="M233" t="str">
            <v>BPM, Chinnamookkanankurichi B.O</v>
          </cell>
          <cell r="N233" t="str">
            <v>CMFPT9276C</v>
          </cell>
          <cell r="O233">
            <v>36794.000115740739</v>
          </cell>
          <cell r="P233">
            <v>45617.000115740739</v>
          </cell>
          <cell r="Q233" t="str">
            <v>010028426541</v>
          </cell>
        </row>
        <row r="234">
          <cell r="C234">
            <v>50662886</v>
          </cell>
          <cell r="D234" t="str">
            <v>RAGAVI  C</v>
          </cell>
          <cell r="E234" t="str">
            <v>Female</v>
          </cell>
          <cell r="F234" t="str">
            <v>1-2</v>
          </cell>
          <cell r="G234">
            <v>30145812</v>
          </cell>
          <cell r="H234" t="str">
            <v>BPM</v>
          </cell>
          <cell r="I234">
            <v>119</v>
          </cell>
          <cell r="J234" t="str">
            <v>Gramin Dak Sevaks</v>
          </cell>
          <cell r="K234">
            <v>29106948</v>
          </cell>
          <cell r="L234" t="str">
            <v>Rengamalaipudupatti B.O</v>
          </cell>
          <cell r="M234" t="str">
            <v>BPM, Rengamalaipudupatti B.O</v>
          </cell>
          <cell r="N234" t="str">
            <v>GCDPR8419H</v>
          </cell>
          <cell r="O234">
            <v>35587.000115740739</v>
          </cell>
          <cell r="P234">
            <v>45617.000115740739</v>
          </cell>
          <cell r="Q234" t="str">
            <v>010047502539</v>
          </cell>
        </row>
        <row r="235">
          <cell r="C235">
            <v>50662890</v>
          </cell>
          <cell r="D235" t="str">
            <v>CHANDRU  B</v>
          </cell>
          <cell r="E235" t="str">
            <v>Male</v>
          </cell>
          <cell r="F235" t="str">
            <v>1-2</v>
          </cell>
          <cell r="G235">
            <v>30145628</v>
          </cell>
          <cell r="H235" t="str">
            <v>ABPM</v>
          </cell>
          <cell r="I235">
            <v>119</v>
          </cell>
          <cell r="J235" t="str">
            <v>Gramin Dak Sevaks</v>
          </cell>
          <cell r="K235">
            <v>29106927</v>
          </cell>
          <cell r="L235" t="str">
            <v>Porani B.O</v>
          </cell>
          <cell r="M235" t="str">
            <v>ABPM, Porani B.O</v>
          </cell>
          <cell r="N235" t="str">
            <v>CHMPC2288K</v>
          </cell>
          <cell r="O235">
            <v>37391.000115740739</v>
          </cell>
          <cell r="P235">
            <v>45617.000115740739</v>
          </cell>
          <cell r="Q235" t="str">
            <v>010047502344</v>
          </cell>
        </row>
        <row r="236">
          <cell r="C236">
            <v>50662891</v>
          </cell>
          <cell r="D236" t="str">
            <v>KANIMOZHI  S</v>
          </cell>
          <cell r="E236" t="str">
            <v>Female</v>
          </cell>
          <cell r="F236" t="str">
            <v>1-2</v>
          </cell>
          <cell r="G236">
            <v>30146103</v>
          </cell>
          <cell r="H236" t="str">
            <v>ABPM</v>
          </cell>
          <cell r="I236">
            <v>119</v>
          </cell>
          <cell r="J236" t="str">
            <v>Gramin Dak Sevaks</v>
          </cell>
          <cell r="K236">
            <v>29661936</v>
          </cell>
          <cell r="L236" t="str">
            <v>Pallapatti Bazaar S.O</v>
          </cell>
          <cell r="M236" t="str">
            <v>ABPM, Pallapatti Bazaar S.O</v>
          </cell>
          <cell r="N236" t="str">
            <v>KTMPS8528E</v>
          </cell>
          <cell r="O236">
            <v>36398.000115740739</v>
          </cell>
          <cell r="P236">
            <v>45617.000115740739</v>
          </cell>
          <cell r="Q236" t="str">
            <v>010047341907</v>
          </cell>
        </row>
        <row r="237">
          <cell r="C237">
            <v>50662892</v>
          </cell>
          <cell r="D237" t="str">
            <v>NAVEENA  P</v>
          </cell>
          <cell r="E237" t="str">
            <v>Female</v>
          </cell>
          <cell r="F237" t="str">
            <v>1-2</v>
          </cell>
          <cell r="G237">
            <v>30145852</v>
          </cell>
          <cell r="H237" t="str">
            <v>ABPM</v>
          </cell>
          <cell r="I237">
            <v>119</v>
          </cell>
          <cell r="J237" t="str">
            <v>Gramin Dak Sevaks</v>
          </cell>
          <cell r="K237">
            <v>29106752</v>
          </cell>
          <cell r="L237" t="str">
            <v>Athur B.O</v>
          </cell>
          <cell r="M237" t="str">
            <v>ABPM, Athur B.O</v>
          </cell>
          <cell r="N237" t="str">
            <v>COYPN3304N</v>
          </cell>
          <cell r="O237">
            <v>36966.000115740739</v>
          </cell>
          <cell r="P237">
            <v>45617.000115740739</v>
          </cell>
          <cell r="Q237" t="str">
            <v>010041723664</v>
          </cell>
        </row>
        <row r="238">
          <cell r="C238">
            <v>50662893</v>
          </cell>
          <cell r="D238" t="str">
            <v>RAGAVI  S</v>
          </cell>
          <cell r="E238" t="str">
            <v>Female</v>
          </cell>
          <cell r="F238" t="str">
            <v>1-2</v>
          </cell>
          <cell r="G238">
            <v>30225179</v>
          </cell>
          <cell r="H238" t="str">
            <v>Dak Sevak</v>
          </cell>
          <cell r="I238">
            <v>119</v>
          </cell>
          <cell r="J238" t="str">
            <v>Gramin Dak Sevaks</v>
          </cell>
          <cell r="K238">
            <v>29661945</v>
          </cell>
          <cell r="L238" t="str">
            <v>Sengunthapuram S.O</v>
          </cell>
          <cell r="M238" t="str">
            <v>Dak Sevak, Sengunthapuram S.O</v>
          </cell>
          <cell r="N238" t="str">
            <v>ENEPR5443H</v>
          </cell>
          <cell r="O238">
            <v>36607.000115740739</v>
          </cell>
          <cell r="P238">
            <v>45617.000115740739</v>
          </cell>
          <cell r="Q238" t="str">
            <v>010047557255</v>
          </cell>
        </row>
        <row r="239">
          <cell r="C239">
            <v>50670337</v>
          </cell>
          <cell r="D239" t="str">
            <v>DHIVYA  P</v>
          </cell>
          <cell r="E239" t="str">
            <v>Female</v>
          </cell>
          <cell r="F239" t="str">
            <v>1-2</v>
          </cell>
          <cell r="G239">
            <v>30146003</v>
          </cell>
          <cell r="H239" t="str">
            <v>GDS Mail Carrier</v>
          </cell>
          <cell r="I239">
            <v>119</v>
          </cell>
          <cell r="J239" t="str">
            <v>Gramin Dak Sevaks</v>
          </cell>
          <cell r="K239">
            <v>29106752</v>
          </cell>
          <cell r="L239" t="str">
            <v>Athur B.O</v>
          </cell>
          <cell r="M239" t="str">
            <v>GDS Mail Carrier, Athur B.O</v>
          </cell>
          <cell r="N239" t="str">
            <v>IDRPD9772A</v>
          </cell>
          <cell r="O239">
            <v>35782.000115740739</v>
          </cell>
          <cell r="P239">
            <v>45638.000115740739</v>
          </cell>
          <cell r="Q239" t="str">
            <v>010048247234</v>
          </cell>
        </row>
        <row r="240">
          <cell r="C240">
            <v>50677191</v>
          </cell>
          <cell r="D240" t="str">
            <v>RAGASUDHA  M</v>
          </cell>
          <cell r="E240" t="str">
            <v>Female</v>
          </cell>
          <cell r="F240" t="str">
            <v>1-2</v>
          </cell>
          <cell r="G240">
            <v>30145926</v>
          </cell>
          <cell r="H240" t="str">
            <v>ABPM</v>
          </cell>
          <cell r="I240">
            <v>119</v>
          </cell>
          <cell r="J240" t="str">
            <v>Gramin Dak Sevaks</v>
          </cell>
          <cell r="K240">
            <v>29661915</v>
          </cell>
          <cell r="L240" t="str">
            <v>Andankoil S.O</v>
          </cell>
          <cell r="M240" t="str">
            <v>ABPM, Andankoil S.O</v>
          </cell>
          <cell r="N240" t="str">
            <v>IUFPM6370E</v>
          </cell>
          <cell r="O240">
            <v>38520.000115740739</v>
          </cell>
          <cell r="P240">
            <v>45658.000115740739</v>
          </cell>
          <cell r="Q240" t="str">
            <v>010048964589</v>
          </cell>
        </row>
        <row r="241">
          <cell r="C241">
            <v>50683179</v>
          </cell>
          <cell r="D241" t="str">
            <v>ABIMOL  S S</v>
          </cell>
          <cell r="E241" t="str">
            <v>Female</v>
          </cell>
          <cell r="F241" t="str">
            <v>1-1</v>
          </cell>
          <cell r="G241">
            <v>30145741</v>
          </cell>
          <cell r="H241" t="str">
            <v>ABPM</v>
          </cell>
          <cell r="I241">
            <v>119</v>
          </cell>
          <cell r="J241" t="str">
            <v>Gramin Dak Sevaks</v>
          </cell>
          <cell r="K241">
            <v>29106869</v>
          </cell>
          <cell r="L241" t="str">
            <v>Munnur B.O</v>
          </cell>
          <cell r="M241" t="str">
            <v>ABPM, Munnur B.O</v>
          </cell>
          <cell r="N241" t="str">
            <v>OIPPS8082D</v>
          </cell>
          <cell r="O241">
            <v>36902.000115740739</v>
          </cell>
          <cell r="P241">
            <v>45694.000115740739</v>
          </cell>
          <cell r="Q241" t="str">
            <v>010050188489</v>
          </cell>
        </row>
        <row r="242">
          <cell r="C242">
            <v>50689223</v>
          </cell>
          <cell r="D242" t="str">
            <v>RAGUL  S</v>
          </cell>
          <cell r="E242" t="str">
            <v>Male</v>
          </cell>
          <cell r="F242" t="str">
            <v>1-1</v>
          </cell>
          <cell r="G242">
            <v>30145912</v>
          </cell>
          <cell r="H242" t="str">
            <v>BPM</v>
          </cell>
          <cell r="I242">
            <v>119</v>
          </cell>
          <cell r="J242" t="str">
            <v>Gramin Dak Sevaks</v>
          </cell>
          <cell r="K242">
            <v>29107002</v>
          </cell>
          <cell r="L242" t="str">
            <v>Vedichipalayam B.O</v>
          </cell>
          <cell r="M242" t="str">
            <v>BPM, Vedichipalayam B.O</v>
          </cell>
          <cell r="N242" t="str">
            <v>DRBPR0353A</v>
          </cell>
          <cell r="O242">
            <v>36853.000115740739</v>
          </cell>
          <cell r="P242">
            <v>45763.000115740739</v>
          </cell>
          <cell r="Q242" t="str">
            <v>010053282939</v>
          </cell>
        </row>
        <row r="243">
          <cell r="C243">
            <v>50689224</v>
          </cell>
          <cell r="D243" t="str">
            <v>SANDHIYA  R</v>
          </cell>
          <cell r="E243" t="str">
            <v>Female</v>
          </cell>
          <cell r="F243" t="str">
            <v>1-1</v>
          </cell>
          <cell r="G243">
            <v>30145591</v>
          </cell>
          <cell r="H243" t="str">
            <v>BPM</v>
          </cell>
          <cell r="I243">
            <v>119</v>
          </cell>
          <cell r="J243" t="str">
            <v>Gramin Dak Sevaks</v>
          </cell>
          <cell r="K243">
            <v>29106808</v>
          </cell>
          <cell r="L243" t="str">
            <v>Karuppapillaipudur B.O</v>
          </cell>
          <cell r="M243" t="str">
            <v>BPM, Karuppapillaipudur B.O</v>
          </cell>
          <cell r="N243" t="str">
            <v>MHWPS2239C</v>
          </cell>
          <cell r="O243">
            <v>37357.000115740739</v>
          </cell>
          <cell r="P243">
            <v>45763.000115740739</v>
          </cell>
          <cell r="Q243" t="str">
            <v>010053139053</v>
          </cell>
        </row>
        <row r="244">
          <cell r="C244">
            <v>50689225</v>
          </cell>
          <cell r="D244" t="str">
            <v xml:space="preserve">SNEKA M  </v>
          </cell>
          <cell r="E244" t="str">
            <v>Female</v>
          </cell>
          <cell r="F244" t="str">
            <v>1-1</v>
          </cell>
          <cell r="G244">
            <v>30145640</v>
          </cell>
          <cell r="H244" t="str">
            <v>BPM</v>
          </cell>
          <cell r="I244">
            <v>119</v>
          </cell>
          <cell r="J244" t="str">
            <v>Gramin Dak Sevaks</v>
          </cell>
          <cell r="K244">
            <v>29106991</v>
          </cell>
          <cell r="L244" t="str">
            <v>Uttupatti B.O</v>
          </cell>
          <cell r="M244" t="str">
            <v>BPM, Uttupatti B.O</v>
          </cell>
          <cell r="N244" t="str">
            <v>MIGPS5997E</v>
          </cell>
          <cell r="O244">
            <v>37123.000115740739</v>
          </cell>
          <cell r="P244">
            <v>45763.000115740739</v>
          </cell>
          <cell r="Q244" t="str">
            <v>010049474932</v>
          </cell>
        </row>
        <row r="245">
          <cell r="C245">
            <v>50689226</v>
          </cell>
          <cell r="D245" t="str">
            <v>ANUSUYA  R</v>
          </cell>
          <cell r="E245" t="str">
            <v>Female</v>
          </cell>
          <cell r="F245" t="str">
            <v>1-1</v>
          </cell>
          <cell r="G245">
            <v>30145814</v>
          </cell>
          <cell r="H245" t="str">
            <v>ABPM</v>
          </cell>
          <cell r="I245">
            <v>119</v>
          </cell>
          <cell r="J245" t="str">
            <v>Gramin Dak Sevaks</v>
          </cell>
          <cell r="K245">
            <v>29106894</v>
          </cell>
          <cell r="L245" t="str">
            <v>Noyyal B.O</v>
          </cell>
          <cell r="M245" t="str">
            <v>ABPM, Noyyal B.O</v>
          </cell>
          <cell r="N245" t="str">
            <v>EGAPA4227H</v>
          </cell>
          <cell r="O245">
            <v>37443.000115740739</v>
          </cell>
          <cell r="P245">
            <v>45763.000115740739</v>
          </cell>
          <cell r="Q245" t="str">
            <v>010053232022</v>
          </cell>
        </row>
        <row r="246">
          <cell r="C246">
            <v>50689606</v>
          </cell>
          <cell r="D246" t="str">
            <v>NARMADHA  S</v>
          </cell>
          <cell r="E246" t="str">
            <v>Female</v>
          </cell>
          <cell r="F246" t="str">
            <v>1-1</v>
          </cell>
          <cell r="G246">
            <v>30145765</v>
          </cell>
          <cell r="H246" t="str">
            <v>ABPM</v>
          </cell>
          <cell r="I246">
            <v>119</v>
          </cell>
          <cell r="J246" t="str">
            <v>Gramin Dak Sevaks</v>
          </cell>
          <cell r="K246">
            <v>29106870</v>
          </cell>
          <cell r="L246" t="str">
            <v>Mushtakinathupatti B.O</v>
          </cell>
          <cell r="M246" t="str">
            <v>ABPM, Mushtakinathupatti B.O</v>
          </cell>
          <cell r="N246" t="str">
            <v>DFWPN3602H</v>
          </cell>
          <cell r="O246">
            <v>37261.000115740739</v>
          </cell>
          <cell r="P246">
            <v>45763.000115740739</v>
          </cell>
          <cell r="Q246" t="str">
            <v>010032968355</v>
          </cell>
        </row>
        <row r="247">
          <cell r="C247">
            <v>50695556</v>
          </cell>
          <cell r="D247" t="str">
            <v>MANIKANDAN  S</v>
          </cell>
          <cell r="E247" t="str">
            <v>Male</v>
          </cell>
          <cell r="F247" t="str">
            <v>1-1</v>
          </cell>
          <cell r="G247">
            <v>30225200</v>
          </cell>
          <cell r="H247" t="str">
            <v>BPM</v>
          </cell>
          <cell r="I247">
            <v>119</v>
          </cell>
          <cell r="J247" t="str">
            <v>Gramin Dak Sevaks</v>
          </cell>
          <cell r="K247">
            <v>29106961</v>
          </cell>
          <cell r="L247" t="str">
            <v>Senapiratti B.O</v>
          </cell>
          <cell r="M247" t="str">
            <v>BPM, Senapiratti B.O</v>
          </cell>
          <cell r="N247" t="str">
            <v>ETGPM7849C</v>
          </cell>
          <cell r="O247">
            <v>36338.000115740739</v>
          </cell>
          <cell r="P247">
            <v>45793.000115740739</v>
          </cell>
          <cell r="Q247" t="str">
            <v>010033472008</v>
          </cell>
        </row>
        <row r="248">
          <cell r="C248">
            <v>50695559</v>
          </cell>
          <cell r="D248" t="str">
            <v>SUSMITHA  G</v>
          </cell>
          <cell r="E248" t="str">
            <v>Female</v>
          </cell>
          <cell r="F248" t="str">
            <v>1-1</v>
          </cell>
          <cell r="G248">
            <v>30145921</v>
          </cell>
          <cell r="H248" t="str">
            <v>Dak Sevak</v>
          </cell>
          <cell r="I248">
            <v>119</v>
          </cell>
          <cell r="J248" t="str">
            <v>Gramin Dak Sevaks</v>
          </cell>
          <cell r="K248">
            <v>29661923</v>
          </cell>
          <cell r="L248" t="str">
            <v>Karur Collectorate S.O</v>
          </cell>
          <cell r="M248" t="str">
            <v>Dak Sevak, Karur Collectorate S.O</v>
          </cell>
          <cell r="N248" t="str">
            <v>GTJPS4991E</v>
          </cell>
          <cell r="O248">
            <v>36136.000115740739</v>
          </cell>
          <cell r="P248">
            <v>45793.000115740739</v>
          </cell>
          <cell r="Q248" t="str">
            <v>010053991101</v>
          </cell>
        </row>
        <row r="249">
          <cell r="C249">
            <v>50695560</v>
          </cell>
          <cell r="D249" t="str">
            <v>BOOPATHI  C</v>
          </cell>
          <cell r="E249" t="str">
            <v>Male</v>
          </cell>
          <cell r="F249" t="str">
            <v>1-1</v>
          </cell>
          <cell r="G249">
            <v>30145601</v>
          </cell>
          <cell r="H249" t="str">
            <v>Dak Sevak</v>
          </cell>
          <cell r="I249">
            <v>119</v>
          </cell>
          <cell r="J249" t="str">
            <v>Gramin Dak Sevaks</v>
          </cell>
          <cell r="K249">
            <v>29661920</v>
          </cell>
          <cell r="L249" t="str">
            <v>Gandhigramam S.O</v>
          </cell>
          <cell r="M249" t="str">
            <v>Dak Sevak, Gandhigramam S.O</v>
          </cell>
          <cell r="N249" t="str">
            <v>COXPC7528C</v>
          </cell>
          <cell r="O249">
            <v>35966.000115740739</v>
          </cell>
          <cell r="P249">
            <v>45793.000115740739</v>
          </cell>
          <cell r="Q249" t="str">
            <v>010029164925</v>
          </cell>
        </row>
        <row r="250">
          <cell r="C250">
            <v>50695561</v>
          </cell>
          <cell r="D250" t="str">
            <v>SNEHA  K</v>
          </cell>
          <cell r="E250" t="str">
            <v>Female</v>
          </cell>
          <cell r="F250" t="str">
            <v>1-1</v>
          </cell>
          <cell r="G250">
            <v>30145833</v>
          </cell>
          <cell r="H250" t="str">
            <v>ABPM</v>
          </cell>
          <cell r="I250">
            <v>119</v>
          </cell>
          <cell r="J250" t="str">
            <v>Gramin Dak Sevaks</v>
          </cell>
          <cell r="K250">
            <v>29661946</v>
          </cell>
          <cell r="L250" t="str">
            <v>Tennilai S.O</v>
          </cell>
          <cell r="M250" t="str">
            <v>ABPM, Tennilai S.O</v>
          </cell>
          <cell r="N250" t="str">
            <v>GOVPS8112A</v>
          </cell>
          <cell r="O250">
            <v>36917.000115740739</v>
          </cell>
          <cell r="P250">
            <v>45793.000115740739</v>
          </cell>
          <cell r="Q250" t="str">
            <v>010044859306</v>
          </cell>
        </row>
        <row r="251">
          <cell r="C251">
            <v>50702930</v>
          </cell>
          <cell r="D251" t="str">
            <v>DEEPTHI  S</v>
          </cell>
          <cell r="E251" t="str">
            <v>Female</v>
          </cell>
          <cell r="F251" t="str">
            <v>1-1</v>
          </cell>
          <cell r="G251">
            <v>30225222</v>
          </cell>
          <cell r="H251" t="str">
            <v>BPM</v>
          </cell>
          <cell r="I251">
            <v>119</v>
          </cell>
          <cell r="J251" t="str">
            <v>Gramin Dak Sevaks</v>
          </cell>
          <cell r="K251">
            <v>29106785</v>
          </cell>
          <cell r="L251" t="str">
            <v>Kadambankurichi B.O</v>
          </cell>
          <cell r="M251" t="str">
            <v>BPM, Kadambankurichi B.O</v>
          </cell>
          <cell r="N251" t="str">
            <v>HQTPD7682B</v>
          </cell>
          <cell r="O251">
            <v>37192.000115740739</v>
          </cell>
          <cell r="P251">
            <v>45827.000115740739</v>
          </cell>
          <cell r="Q251" t="str">
            <v>010055006409</v>
          </cell>
        </row>
        <row r="252">
          <cell r="C252">
            <v>50705750</v>
          </cell>
          <cell r="D252" t="str">
            <v>KOUSALYA  V</v>
          </cell>
          <cell r="E252" t="str">
            <v>Female</v>
          </cell>
          <cell r="F252" t="str">
            <v>1-1</v>
          </cell>
          <cell r="G252">
            <v>30145940</v>
          </cell>
          <cell r="H252" t="str">
            <v>BPM</v>
          </cell>
          <cell r="I252">
            <v>119</v>
          </cell>
          <cell r="J252" t="str">
            <v>Gramin Dak Sevaks</v>
          </cell>
          <cell r="K252">
            <v>29106847</v>
          </cell>
          <cell r="L252" t="str">
            <v>Manavadi B.O</v>
          </cell>
          <cell r="M252" t="str">
            <v>BPM, Manavadi B.O</v>
          </cell>
          <cell r="N252" t="str">
            <v>CONPV0925E</v>
          </cell>
          <cell r="O252">
            <v>36763.000115740739</v>
          </cell>
          <cell r="P252">
            <v>45852.000115740739</v>
          </cell>
          <cell r="Q252" t="str">
            <v>010044854288</v>
          </cell>
        </row>
        <row r="253">
          <cell r="C253">
            <v>50089402</v>
          </cell>
          <cell r="D253" t="str">
            <v xml:space="preserve">A R ARUMUGAM  </v>
          </cell>
          <cell r="E253" t="str">
            <v>Male</v>
          </cell>
          <cell r="F253" t="str">
            <v>2-8</v>
          </cell>
          <cell r="G253">
            <v>30145897</v>
          </cell>
          <cell r="H253" t="str">
            <v>ABPM</v>
          </cell>
          <cell r="I253">
            <v>119</v>
          </cell>
          <cell r="J253" t="str">
            <v>Gramin Dak Sevaks</v>
          </cell>
          <cell r="K253">
            <v>29106848</v>
          </cell>
          <cell r="L253" t="str">
            <v>Manavasi B.O</v>
          </cell>
          <cell r="M253" t="str">
            <v>ABPM, Manavasi B.O</v>
          </cell>
          <cell r="N253" t="str">
            <v>DFQPA5773A</v>
          </cell>
          <cell r="O253">
            <v>27529.000115740742</v>
          </cell>
          <cell r="P253">
            <v>36094.000115740739</v>
          </cell>
          <cell r="Q253" t="str">
            <v>2040548696</v>
          </cell>
        </row>
        <row r="254">
          <cell r="C254">
            <v>50089415</v>
          </cell>
          <cell r="D254" t="str">
            <v xml:space="preserve">B KARTHIKEYAN  </v>
          </cell>
          <cell r="E254" t="str">
            <v>Male</v>
          </cell>
          <cell r="F254" t="str">
            <v>2-8</v>
          </cell>
          <cell r="G254">
            <v>30145979</v>
          </cell>
          <cell r="H254" t="str">
            <v>BPM</v>
          </cell>
          <cell r="I254">
            <v>119</v>
          </cell>
          <cell r="J254" t="str">
            <v>Gramin Dak Sevaks</v>
          </cell>
          <cell r="K254">
            <v>29106996</v>
          </cell>
          <cell r="L254" t="str">
            <v>Valayalkaranpudur B.O</v>
          </cell>
          <cell r="M254" t="str">
            <v>BPM, Valayalkaranpudur B.O</v>
          </cell>
          <cell r="N254" t="str">
            <v>DUAPK3857A</v>
          </cell>
          <cell r="O254">
            <v>32854.000115740739</v>
          </cell>
          <cell r="P254">
            <v>41030.000115740739</v>
          </cell>
          <cell r="Q254" t="str">
            <v>2040572363</v>
          </cell>
        </row>
        <row r="255">
          <cell r="C255">
            <v>50089868</v>
          </cell>
          <cell r="D255" t="str">
            <v xml:space="preserve">V ALAGUMANI  </v>
          </cell>
          <cell r="E255" t="str">
            <v>Male</v>
          </cell>
          <cell r="F255" t="str">
            <v>1-12</v>
          </cell>
          <cell r="G255">
            <v>30145859</v>
          </cell>
          <cell r="H255" t="str">
            <v>Dak Sevak</v>
          </cell>
          <cell r="I255">
            <v>119</v>
          </cell>
          <cell r="J255" t="str">
            <v>Gramin Dak Sevaks</v>
          </cell>
          <cell r="K255">
            <v>29661932</v>
          </cell>
          <cell r="L255" t="str">
            <v>Mayanur S.O</v>
          </cell>
          <cell r="M255" t="str">
            <v>Dak Sevak, Mayanur S.O</v>
          </cell>
          <cell r="N255" t="str">
            <v>FPUPA7733C</v>
          </cell>
          <cell r="O255">
            <v>23472.000115740742</v>
          </cell>
          <cell r="P255">
            <v>35258.000115740739</v>
          </cell>
          <cell r="Q255" t="str">
            <v>2040557490</v>
          </cell>
        </row>
        <row r="256">
          <cell r="C256">
            <v>50089878</v>
          </cell>
          <cell r="D256" t="str">
            <v xml:space="preserve">V GOMATHI  </v>
          </cell>
          <cell r="E256" t="str">
            <v>Female</v>
          </cell>
          <cell r="F256" t="str">
            <v>1-8</v>
          </cell>
          <cell r="G256">
            <v>30146061</v>
          </cell>
          <cell r="H256" t="str">
            <v>BPM</v>
          </cell>
          <cell r="I256">
            <v>119</v>
          </cell>
          <cell r="J256" t="str">
            <v>Gramin Dak Sevaks</v>
          </cell>
          <cell r="K256">
            <v>29106848</v>
          </cell>
          <cell r="L256" t="str">
            <v>Manavasi B.O</v>
          </cell>
          <cell r="M256" t="str">
            <v>BPM, Manavasi B.O</v>
          </cell>
          <cell r="N256" t="str">
            <v>CTYPG6598L</v>
          </cell>
          <cell r="O256">
            <v>35126.000115740739</v>
          </cell>
          <cell r="P256">
            <v>42562.000115740739</v>
          </cell>
          <cell r="Q256" t="str">
            <v>3339517423</v>
          </cell>
        </row>
        <row r="257">
          <cell r="C257">
            <v>50464703</v>
          </cell>
          <cell r="D257" t="str">
            <v>SNEGA PRIYA  B</v>
          </cell>
          <cell r="E257" t="str">
            <v>Female</v>
          </cell>
          <cell r="F257" t="str">
            <v>1-7</v>
          </cell>
          <cell r="G257">
            <v>30145706</v>
          </cell>
          <cell r="H257" t="str">
            <v>BPM</v>
          </cell>
          <cell r="I257">
            <v>119</v>
          </cell>
          <cell r="J257" t="str">
            <v>Gramin Dak Sevaks</v>
          </cell>
          <cell r="K257">
            <v>29106811</v>
          </cell>
          <cell r="L257" t="str">
            <v>Karuppur B.O</v>
          </cell>
          <cell r="M257" t="str">
            <v>BPM, Karuppur B.O</v>
          </cell>
          <cell r="N257" t="str">
            <v>MKDPS6726C</v>
          </cell>
          <cell r="O257">
            <v>35800.000115740739</v>
          </cell>
          <cell r="P257">
            <v>43665.000115740739</v>
          </cell>
          <cell r="Q257" t="str">
            <v>20283944333</v>
          </cell>
        </row>
        <row r="258">
          <cell r="C258">
            <v>50464704</v>
          </cell>
          <cell r="D258" t="str">
            <v>BOOMATHI  M</v>
          </cell>
          <cell r="E258" t="str">
            <v>Female</v>
          </cell>
          <cell r="F258" t="str">
            <v>1-6</v>
          </cell>
          <cell r="G258">
            <v>30145998</v>
          </cell>
          <cell r="H258" t="str">
            <v>BPM</v>
          </cell>
          <cell r="I258">
            <v>119</v>
          </cell>
          <cell r="J258" t="str">
            <v>Gramin Dak Sevaks</v>
          </cell>
          <cell r="K258">
            <v>29106950</v>
          </cell>
          <cell r="L258" t="str">
            <v>Renganathapuram B.O</v>
          </cell>
          <cell r="M258" t="str">
            <v>BPM, Renganathapuram B.O</v>
          </cell>
          <cell r="N258" t="str">
            <v>ERUPB7866Q</v>
          </cell>
          <cell r="O258">
            <v>35732.000115740739</v>
          </cell>
          <cell r="P258">
            <v>43665.000115740739</v>
          </cell>
          <cell r="Q258" t="str">
            <v>010030210627</v>
          </cell>
        </row>
        <row r="259">
          <cell r="C259">
            <v>50503998</v>
          </cell>
          <cell r="D259" t="str">
            <v xml:space="preserve">DHARANI S  </v>
          </cell>
          <cell r="E259" t="str">
            <v>Female</v>
          </cell>
          <cell r="F259" t="str">
            <v>2-5</v>
          </cell>
          <cell r="G259">
            <v>30146099</v>
          </cell>
          <cell r="H259" t="str">
            <v>ABPM</v>
          </cell>
          <cell r="I259">
            <v>119</v>
          </cell>
          <cell r="J259" t="str">
            <v>Gramin Dak Sevaks</v>
          </cell>
          <cell r="K259">
            <v>29106811</v>
          </cell>
          <cell r="L259" t="str">
            <v>Karuppur B.O</v>
          </cell>
          <cell r="M259" t="str">
            <v>ABPM, Karuppur B.O</v>
          </cell>
          <cell r="N259" t="str">
            <v>GSLPD5433B</v>
          </cell>
          <cell r="O259">
            <v>36996.000115740739</v>
          </cell>
          <cell r="P259">
            <v>44256.000115740739</v>
          </cell>
          <cell r="Q259" t="str">
            <v>010001354995</v>
          </cell>
        </row>
        <row r="260">
          <cell r="C260">
            <v>50514054</v>
          </cell>
          <cell r="D260" t="str">
            <v>YAMUNA  V</v>
          </cell>
          <cell r="E260" t="str">
            <v>Female</v>
          </cell>
          <cell r="F260" t="str">
            <v>1-5</v>
          </cell>
          <cell r="G260">
            <v>30145966</v>
          </cell>
          <cell r="H260" t="str">
            <v>ABPM</v>
          </cell>
          <cell r="I260">
            <v>119</v>
          </cell>
          <cell r="J260" t="str">
            <v>Gramin Dak Sevaks</v>
          </cell>
          <cell r="K260">
            <v>29661932</v>
          </cell>
          <cell r="L260" t="str">
            <v>Mayanur S.O</v>
          </cell>
          <cell r="M260" t="str">
            <v>ABPM, Mayanur S.O</v>
          </cell>
          <cell r="N260" t="str">
            <v>BNTPY1687C</v>
          </cell>
          <cell r="O260">
            <v>36498.000115740739</v>
          </cell>
          <cell r="P260">
            <v>44348.000115740739</v>
          </cell>
          <cell r="Q260" t="str">
            <v>010005097121</v>
          </cell>
        </row>
        <row r="261">
          <cell r="C261">
            <v>50558678</v>
          </cell>
          <cell r="D261" t="str">
            <v>GOKUL RAJ  S</v>
          </cell>
          <cell r="E261" t="str">
            <v>Male</v>
          </cell>
          <cell r="F261" t="str">
            <v>2-4</v>
          </cell>
          <cell r="G261">
            <v>30145616</v>
          </cell>
          <cell r="H261" t="str">
            <v>ABPM</v>
          </cell>
          <cell r="I261">
            <v>119</v>
          </cell>
          <cell r="J261" t="str">
            <v>Gramin Dak Sevaks</v>
          </cell>
          <cell r="K261">
            <v>29106814</v>
          </cell>
          <cell r="L261" t="str">
            <v>Kattalai B.O</v>
          </cell>
          <cell r="M261" t="str">
            <v>ABPM, Kattalai B.O</v>
          </cell>
          <cell r="N261" t="str">
            <v>PBJPS0810P</v>
          </cell>
          <cell r="O261">
            <v>36901.000115740739</v>
          </cell>
          <cell r="P261">
            <v>44884.000115740739</v>
          </cell>
          <cell r="Q261" t="str">
            <v>010021433145</v>
          </cell>
        </row>
        <row r="262">
          <cell r="C262">
            <v>50576064</v>
          </cell>
          <cell r="D262" t="str">
            <v xml:space="preserve">KOKILA B  </v>
          </cell>
          <cell r="E262" t="str">
            <v>Female</v>
          </cell>
          <cell r="F262" t="str">
            <v>1-3</v>
          </cell>
          <cell r="G262">
            <v>30146123</v>
          </cell>
          <cell r="H262" t="str">
            <v>ABPM</v>
          </cell>
          <cell r="I262">
            <v>119</v>
          </cell>
          <cell r="J262" t="str">
            <v>Gramin Dak Sevaks</v>
          </cell>
          <cell r="K262">
            <v>29106996</v>
          </cell>
          <cell r="L262" t="str">
            <v>Valayalkaranpudur B.O</v>
          </cell>
          <cell r="M262" t="str">
            <v>ABPM, Valayalkaranpudur B.O</v>
          </cell>
          <cell r="N262" t="str">
            <v>EUBPK5376N</v>
          </cell>
          <cell r="O262">
            <v>35999.000115740739</v>
          </cell>
          <cell r="P262">
            <v>45063.000115740739</v>
          </cell>
          <cell r="Q262" t="str">
            <v>010018531387</v>
          </cell>
        </row>
        <row r="263">
          <cell r="C263">
            <v>50582872</v>
          </cell>
          <cell r="D263" t="str">
            <v xml:space="preserve">SASI C  </v>
          </cell>
          <cell r="E263" t="str">
            <v>Female</v>
          </cell>
          <cell r="F263" t="str">
            <v>1-3</v>
          </cell>
          <cell r="G263">
            <v>30145710</v>
          </cell>
          <cell r="H263" t="str">
            <v>ABPM</v>
          </cell>
          <cell r="I263">
            <v>119</v>
          </cell>
          <cell r="J263" t="str">
            <v>Gramin Dak Sevaks</v>
          </cell>
          <cell r="K263">
            <v>29106950</v>
          </cell>
          <cell r="L263" t="str">
            <v>Renganathapuram B.O</v>
          </cell>
          <cell r="M263" t="str">
            <v>ABPM, Renganathapuram B.O</v>
          </cell>
          <cell r="N263" t="str">
            <v>CTYPC3856R</v>
          </cell>
          <cell r="O263">
            <v>36575.000115740739</v>
          </cell>
          <cell r="P263">
            <v>45080.000115740739</v>
          </cell>
          <cell r="Q263" t="str">
            <v>010019725478</v>
          </cell>
        </row>
        <row r="264">
          <cell r="C264">
            <v>50653139</v>
          </cell>
          <cell r="D264" t="str">
            <v>Pratheepa D  D</v>
          </cell>
          <cell r="E264" t="str">
            <v>Female</v>
          </cell>
          <cell r="F264" t="str">
            <v>1-2</v>
          </cell>
          <cell r="G264">
            <v>30145960</v>
          </cell>
          <cell r="H264" t="str">
            <v>BPM</v>
          </cell>
          <cell r="I264">
            <v>119</v>
          </cell>
          <cell r="J264" t="str">
            <v>Gramin Dak Sevaks</v>
          </cell>
          <cell r="K264">
            <v>29106814</v>
          </cell>
          <cell r="L264" t="str">
            <v>Kattalai B.O</v>
          </cell>
          <cell r="M264" t="str">
            <v>BPM, Kattalai B.O</v>
          </cell>
          <cell r="N264" t="str">
            <v>FEXPP2598A</v>
          </cell>
          <cell r="O264">
            <v>36596.000115740739</v>
          </cell>
          <cell r="P264">
            <v>45597.000115740739</v>
          </cell>
          <cell r="Q264" t="str">
            <v>010046418018</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44"/>
  <sheetViews>
    <sheetView workbookViewId="0">
      <pane ySplit="8" topLeftCell="A63" activePane="bottomLeft" state="frozen"/>
      <selection pane="bottomLeft" activeCell="E11" sqref="E11"/>
    </sheetView>
  </sheetViews>
  <sheetFormatPr defaultRowHeight="18" customHeight="1" x14ac:dyDescent="0.25"/>
  <cols>
    <col min="1" max="1" width="6" customWidth="1"/>
    <col min="2" max="2" width="11" customWidth="1"/>
    <col min="3" max="3" width="25" customWidth="1"/>
    <col min="4" max="4" width="28" customWidth="1"/>
    <col min="5" max="6" width="13" customWidth="1"/>
    <col min="7" max="7" width="12" customWidth="1"/>
    <col min="8" max="8" width="22" customWidth="1"/>
    <col min="9" max="9" width="15" customWidth="1"/>
    <col min="10" max="10" width="43" customWidth="1"/>
  </cols>
  <sheetData>
    <row r="1" spans="1:10" ht="26.1" customHeight="1" x14ac:dyDescent="0.25">
      <c r="A1" s="47" t="s">
        <v>0</v>
      </c>
      <c r="B1" s="47"/>
      <c r="C1" s="47"/>
      <c r="D1" s="47"/>
      <c r="E1" s="47"/>
      <c r="F1" s="47"/>
      <c r="G1" s="47"/>
      <c r="H1" s="47"/>
      <c r="I1" s="47"/>
      <c r="J1" s="47"/>
    </row>
    <row r="2" spans="1:10" ht="20.100000000000001" customHeight="1" x14ac:dyDescent="0.25">
      <c r="A2" s="48" t="s">
        <v>1</v>
      </c>
      <c r="B2" s="48"/>
      <c r="C2" s="48"/>
      <c r="D2" s="48"/>
      <c r="E2" s="48"/>
      <c r="F2" s="48"/>
      <c r="G2" s="48"/>
      <c r="H2" s="48"/>
      <c r="I2" s="48"/>
      <c r="J2" s="48"/>
    </row>
    <row r="3" spans="1:10" ht="20.100000000000001" customHeight="1" x14ac:dyDescent="0.25">
      <c r="A3" s="49" t="s">
        <v>2</v>
      </c>
      <c r="B3" s="49"/>
      <c r="C3" s="49"/>
      <c r="D3" s="49"/>
      <c r="E3" s="49"/>
      <c r="F3" s="49"/>
      <c r="G3" s="49"/>
      <c r="H3" s="49"/>
      <c r="I3" s="49"/>
      <c r="J3" s="49"/>
    </row>
    <row r="4" spans="1:10" ht="18" customHeight="1" x14ac:dyDescent="0.25">
      <c r="A4" s="44" t="s">
        <v>3</v>
      </c>
      <c r="B4" s="44"/>
      <c r="C4" s="44"/>
      <c r="D4" s="44"/>
      <c r="E4" s="44"/>
      <c r="F4" s="44"/>
      <c r="G4" s="44"/>
      <c r="H4" s="44"/>
      <c r="I4" s="44"/>
      <c r="J4" s="44"/>
    </row>
    <row r="5" spans="1:10" ht="33.950000000000003" customHeight="1" x14ac:dyDescent="0.25">
      <c r="A5" s="44" t="s">
        <v>4</v>
      </c>
      <c r="B5" s="44"/>
      <c r="C5" s="44"/>
      <c r="D5" s="44"/>
      <c r="E5" s="44"/>
      <c r="F5" s="44"/>
      <c r="G5" s="44"/>
      <c r="H5" s="44"/>
      <c r="I5" s="44"/>
      <c r="J5" s="44"/>
    </row>
    <row r="6" spans="1:10" ht="18" customHeight="1" x14ac:dyDescent="0.25">
      <c r="A6" s="44" t="s">
        <v>5</v>
      </c>
      <c r="B6" s="44"/>
      <c r="C6" s="44"/>
      <c r="D6" s="44"/>
      <c r="E6" s="44"/>
      <c r="F6" s="44"/>
      <c r="G6" s="44"/>
      <c r="H6" s="44"/>
      <c r="I6" s="44"/>
      <c r="J6" s="44"/>
    </row>
    <row r="7" spans="1:10" ht="21.95" customHeight="1" x14ac:dyDescent="0.25">
      <c r="A7" s="45" t="s">
        <v>6</v>
      </c>
      <c r="B7" s="45"/>
      <c r="C7" s="45"/>
      <c r="D7" s="45"/>
      <c r="E7" s="45"/>
      <c r="F7" s="45"/>
      <c r="G7" s="45"/>
      <c r="H7" s="45"/>
      <c r="I7" s="45"/>
      <c r="J7" s="45"/>
    </row>
    <row r="8" spans="1:10" ht="21.95" customHeight="1" x14ac:dyDescent="0.25">
      <c r="A8" s="1" t="s">
        <v>7</v>
      </c>
      <c r="B8" s="1" t="s">
        <v>8</v>
      </c>
      <c r="C8" s="1" t="s">
        <v>9</v>
      </c>
      <c r="D8" s="1" t="s">
        <v>10</v>
      </c>
      <c r="E8" s="1" t="s">
        <v>11</v>
      </c>
      <c r="F8" s="1" t="s">
        <v>12</v>
      </c>
      <c r="G8" s="1" t="s">
        <v>13</v>
      </c>
      <c r="H8" s="1" t="s">
        <v>14</v>
      </c>
      <c r="I8" s="1" t="s">
        <v>15</v>
      </c>
      <c r="J8" s="1" t="s">
        <v>16</v>
      </c>
    </row>
    <row r="9" spans="1:10" s="2" customFormat="1" ht="15" x14ac:dyDescent="0.25">
      <c r="A9" s="3">
        <v>1</v>
      </c>
      <c r="B9" s="4" t="s">
        <v>17</v>
      </c>
      <c r="C9" s="3" t="s">
        <v>18</v>
      </c>
      <c r="D9" s="3" t="s">
        <v>19</v>
      </c>
      <c r="E9" s="3" t="s">
        <v>20</v>
      </c>
      <c r="F9" s="3" t="s">
        <v>21</v>
      </c>
      <c r="G9" s="5">
        <v>6</v>
      </c>
      <c r="H9" s="3" t="s">
        <v>22</v>
      </c>
      <c r="I9" s="4" t="s">
        <v>23</v>
      </c>
      <c r="J9" s="3" t="s">
        <v>24</v>
      </c>
    </row>
    <row r="10" spans="1:10" s="2" customFormat="1" ht="15" x14ac:dyDescent="0.25">
      <c r="A10" s="6">
        <v>2</v>
      </c>
      <c r="B10" s="7" t="s">
        <v>25</v>
      </c>
      <c r="C10" s="6" t="s">
        <v>26</v>
      </c>
      <c r="D10" s="6" t="s">
        <v>27</v>
      </c>
      <c r="E10" s="6" t="s">
        <v>20</v>
      </c>
      <c r="F10" s="6" t="s">
        <v>20</v>
      </c>
      <c r="G10" s="8">
        <v>1</v>
      </c>
      <c r="H10" s="6" t="s">
        <v>28</v>
      </c>
      <c r="I10" s="7" t="s">
        <v>29</v>
      </c>
      <c r="J10" s="6" t="s">
        <v>30</v>
      </c>
    </row>
    <row r="11" spans="1:10" s="2" customFormat="1" ht="15" x14ac:dyDescent="0.25">
      <c r="A11" s="3">
        <v>3</v>
      </c>
      <c r="B11" s="4" t="s">
        <v>31</v>
      </c>
      <c r="C11" s="3" t="s">
        <v>32</v>
      </c>
      <c r="D11" s="3" t="s">
        <v>27</v>
      </c>
      <c r="E11" s="3" t="s">
        <v>33</v>
      </c>
      <c r="F11" s="3" t="s">
        <v>33</v>
      </c>
      <c r="G11" s="5">
        <v>1</v>
      </c>
      <c r="H11" s="3" t="s">
        <v>28</v>
      </c>
      <c r="I11" s="4" t="s">
        <v>29</v>
      </c>
      <c r="J11" s="3" t="s">
        <v>34</v>
      </c>
    </row>
    <row r="12" spans="1:10" s="2" customFormat="1" ht="15" x14ac:dyDescent="0.25">
      <c r="A12" s="6">
        <v>4</v>
      </c>
      <c r="B12" s="7" t="s">
        <v>35</v>
      </c>
      <c r="C12" s="6" t="s">
        <v>36</v>
      </c>
      <c r="D12" s="6" t="s">
        <v>27</v>
      </c>
      <c r="E12" s="6" t="s">
        <v>37</v>
      </c>
      <c r="F12" s="6" t="s">
        <v>38</v>
      </c>
      <c r="G12" s="8">
        <v>4</v>
      </c>
      <c r="H12" s="6" t="s">
        <v>39</v>
      </c>
      <c r="I12" s="7" t="s">
        <v>40</v>
      </c>
      <c r="J12" s="6" t="s">
        <v>30</v>
      </c>
    </row>
    <row r="13" spans="1:10" s="2" customFormat="1" ht="15" x14ac:dyDescent="0.25">
      <c r="A13" s="3">
        <v>5</v>
      </c>
      <c r="B13" s="4" t="s">
        <v>41</v>
      </c>
      <c r="C13" s="3" t="s">
        <v>42</v>
      </c>
      <c r="D13" s="3" t="s">
        <v>43</v>
      </c>
      <c r="E13" s="3" t="s">
        <v>44</v>
      </c>
      <c r="F13" s="3" t="s">
        <v>45</v>
      </c>
      <c r="G13" s="5">
        <v>3</v>
      </c>
      <c r="H13" s="3" t="s">
        <v>46</v>
      </c>
      <c r="I13" s="4" t="s">
        <v>47</v>
      </c>
      <c r="J13" s="3" t="s">
        <v>48</v>
      </c>
    </row>
    <row r="14" spans="1:10" s="2" customFormat="1" ht="15" x14ac:dyDescent="0.25">
      <c r="A14" s="6">
        <v>6</v>
      </c>
      <c r="B14" s="7" t="s">
        <v>41</v>
      </c>
      <c r="C14" s="6" t="s">
        <v>42</v>
      </c>
      <c r="D14" s="6" t="s">
        <v>43</v>
      </c>
      <c r="E14" s="6" t="s">
        <v>49</v>
      </c>
      <c r="F14" s="6" t="s">
        <v>50</v>
      </c>
      <c r="G14" s="8">
        <v>2</v>
      </c>
      <c r="H14" s="6" t="s">
        <v>51</v>
      </c>
      <c r="I14" s="7" t="s">
        <v>52</v>
      </c>
      <c r="J14" s="6" t="s">
        <v>48</v>
      </c>
    </row>
    <row r="15" spans="1:10" s="2" customFormat="1" ht="15" x14ac:dyDescent="0.25">
      <c r="A15" s="3">
        <v>7</v>
      </c>
      <c r="B15" s="4" t="s">
        <v>53</v>
      </c>
      <c r="C15" s="3" t="s">
        <v>54</v>
      </c>
      <c r="D15" s="3" t="s">
        <v>55</v>
      </c>
      <c r="E15" s="3" t="s">
        <v>56</v>
      </c>
      <c r="F15" s="3" t="s">
        <v>57</v>
      </c>
      <c r="G15" s="5">
        <v>2</v>
      </c>
      <c r="H15" s="3" t="s">
        <v>58</v>
      </c>
      <c r="I15" s="4" t="s">
        <v>59</v>
      </c>
      <c r="J15" s="3" t="s">
        <v>34</v>
      </c>
    </row>
    <row r="16" spans="1:10" s="2" customFormat="1" ht="15" x14ac:dyDescent="0.25">
      <c r="A16" s="6">
        <v>8</v>
      </c>
      <c r="B16" s="7" t="s">
        <v>53</v>
      </c>
      <c r="C16" s="6" t="s">
        <v>54</v>
      </c>
      <c r="D16" s="6" t="s">
        <v>55</v>
      </c>
      <c r="E16" s="6" t="s">
        <v>44</v>
      </c>
      <c r="F16" s="6" t="s">
        <v>45</v>
      </c>
      <c r="G16" s="8">
        <v>3</v>
      </c>
      <c r="H16" s="6" t="s">
        <v>58</v>
      </c>
      <c r="I16" s="7" t="s">
        <v>59</v>
      </c>
      <c r="J16" s="6" t="s">
        <v>60</v>
      </c>
    </row>
    <row r="17" spans="1:10" s="2" customFormat="1" ht="15" x14ac:dyDescent="0.25">
      <c r="A17" s="3">
        <v>9</v>
      </c>
      <c r="B17" s="4" t="s">
        <v>53</v>
      </c>
      <c r="C17" s="3" t="s">
        <v>54</v>
      </c>
      <c r="D17" s="3" t="s">
        <v>55</v>
      </c>
      <c r="E17" s="3" t="s">
        <v>50</v>
      </c>
      <c r="F17" s="3" t="s">
        <v>50</v>
      </c>
      <c r="G17" s="5">
        <v>1</v>
      </c>
      <c r="H17" s="3" t="s">
        <v>58</v>
      </c>
      <c r="I17" s="4" t="s">
        <v>59</v>
      </c>
      <c r="J17" s="3" t="s">
        <v>34</v>
      </c>
    </row>
    <row r="18" spans="1:10" s="2" customFormat="1" ht="15" x14ac:dyDescent="0.25">
      <c r="A18" s="6">
        <v>10</v>
      </c>
      <c r="B18" s="7" t="s">
        <v>61</v>
      </c>
      <c r="C18" s="6" t="s">
        <v>62</v>
      </c>
      <c r="D18" s="6" t="s">
        <v>63</v>
      </c>
      <c r="E18" s="6" t="s">
        <v>64</v>
      </c>
      <c r="F18" s="6" t="s">
        <v>64</v>
      </c>
      <c r="G18" s="8">
        <v>1</v>
      </c>
      <c r="H18" s="6" t="s">
        <v>65</v>
      </c>
      <c r="I18" s="7" t="s">
        <v>66</v>
      </c>
      <c r="J18" s="6" t="s">
        <v>67</v>
      </c>
    </row>
    <row r="19" spans="1:10" s="2" customFormat="1" ht="15" x14ac:dyDescent="0.25">
      <c r="A19" s="3">
        <v>11</v>
      </c>
      <c r="B19" s="4" t="s">
        <v>61</v>
      </c>
      <c r="C19" s="3" t="s">
        <v>62</v>
      </c>
      <c r="D19" s="3" t="s">
        <v>63</v>
      </c>
      <c r="E19" s="3" t="s">
        <v>68</v>
      </c>
      <c r="F19" s="3" t="s">
        <v>21</v>
      </c>
      <c r="G19" s="5">
        <v>2</v>
      </c>
      <c r="H19" s="3" t="s">
        <v>65</v>
      </c>
      <c r="I19" s="4" t="s">
        <v>66</v>
      </c>
      <c r="J19" s="3" t="s">
        <v>67</v>
      </c>
    </row>
    <row r="20" spans="1:10" s="2" customFormat="1" ht="15" x14ac:dyDescent="0.25">
      <c r="A20" s="6">
        <v>12</v>
      </c>
      <c r="B20" s="7" t="s">
        <v>69</v>
      </c>
      <c r="C20" s="6" t="s">
        <v>70</v>
      </c>
      <c r="D20" s="6" t="s">
        <v>63</v>
      </c>
      <c r="E20" s="6" t="s">
        <v>71</v>
      </c>
      <c r="F20" s="6" t="s">
        <v>71</v>
      </c>
      <c r="G20" s="8">
        <v>1</v>
      </c>
      <c r="H20" s="6" t="s">
        <v>65</v>
      </c>
      <c r="I20" s="7" t="s">
        <v>66</v>
      </c>
      <c r="J20" s="6" t="s">
        <v>34</v>
      </c>
    </row>
    <row r="21" spans="1:10" s="2" customFormat="1" ht="15" x14ac:dyDescent="0.25">
      <c r="A21" s="3">
        <v>13</v>
      </c>
      <c r="B21" s="4" t="s">
        <v>72</v>
      </c>
      <c r="C21" s="3" t="s">
        <v>73</v>
      </c>
      <c r="D21" s="3" t="s">
        <v>74</v>
      </c>
      <c r="E21" s="3" t="s">
        <v>75</v>
      </c>
      <c r="F21" s="3" t="s">
        <v>37</v>
      </c>
      <c r="G21" s="5">
        <v>2</v>
      </c>
      <c r="H21" s="3" t="s">
        <v>76</v>
      </c>
      <c r="I21" s="3" t="s">
        <v>76</v>
      </c>
      <c r="J21" s="3" t="s">
        <v>77</v>
      </c>
    </row>
    <row r="22" spans="1:10" s="2" customFormat="1" ht="15" x14ac:dyDescent="0.25">
      <c r="A22" s="6">
        <v>14</v>
      </c>
      <c r="B22" s="7" t="s">
        <v>78</v>
      </c>
      <c r="C22" s="6" t="s">
        <v>79</v>
      </c>
      <c r="D22" s="6" t="s">
        <v>80</v>
      </c>
      <c r="E22" s="6" t="s">
        <v>81</v>
      </c>
      <c r="F22" s="6" t="s">
        <v>81</v>
      </c>
      <c r="G22" s="8">
        <v>1</v>
      </c>
      <c r="H22" s="6" t="s">
        <v>82</v>
      </c>
      <c r="I22" s="7" t="s">
        <v>83</v>
      </c>
      <c r="J22" s="6" t="s">
        <v>34</v>
      </c>
    </row>
    <row r="23" spans="1:10" s="2" customFormat="1" ht="15" x14ac:dyDescent="0.25">
      <c r="A23" s="3">
        <v>15</v>
      </c>
      <c r="B23" s="4" t="s">
        <v>84</v>
      </c>
      <c r="C23" s="3" t="s">
        <v>85</v>
      </c>
      <c r="D23" s="3" t="s">
        <v>80</v>
      </c>
      <c r="E23" s="3" t="s">
        <v>81</v>
      </c>
      <c r="F23" s="3" t="s">
        <v>81</v>
      </c>
      <c r="G23" s="5">
        <v>1</v>
      </c>
      <c r="H23" s="3" t="s">
        <v>86</v>
      </c>
      <c r="I23" s="4" t="s">
        <v>87</v>
      </c>
      <c r="J23" s="3" t="s">
        <v>88</v>
      </c>
    </row>
    <row r="24" spans="1:10" s="2" customFormat="1" ht="15" x14ac:dyDescent="0.25">
      <c r="A24" s="6">
        <v>16</v>
      </c>
      <c r="B24" s="7" t="s">
        <v>89</v>
      </c>
      <c r="C24" s="6" t="s">
        <v>90</v>
      </c>
      <c r="D24" s="6" t="s">
        <v>91</v>
      </c>
      <c r="E24" s="6" t="s">
        <v>75</v>
      </c>
      <c r="F24" s="6" t="s">
        <v>75</v>
      </c>
      <c r="G24" s="8">
        <v>1</v>
      </c>
      <c r="H24" s="6" t="s">
        <v>92</v>
      </c>
      <c r="I24" s="7" t="s">
        <v>93</v>
      </c>
      <c r="J24" s="6" t="s">
        <v>34</v>
      </c>
    </row>
    <row r="25" spans="1:10" s="2" customFormat="1" ht="15" x14ac:dyDescent="0.25">
      <c r="A25" s="3">
        <v>17</v>
      </c>
      <c r="B25" s="4" t="s">
        <v>89</v>
      </c>
      <c r="C25" s="3" t="s">
        <v>90</v>
      </c>
      <c r="D25" s="3" t="s">
        <v>91</v>
      </c>
      <c r="E25" s="3" t="s">
        <v>49</v>
      </c>
      <c r="F25" s="3" t="s">
        <v>49</v>
      </c>
      <c r="G25" s="5">
        <v>1</v>
      </c>
      <c r="H25" s="3" t="s">
        <v>94</v>
      </c>
      <c r="I25" s="4" t="s">
        <v>95</v>
      </c>
      <c r="J25" s="3" t="s">
        <v>34</v>
      </c>
    </row>
    <row r="26" spans="1:10" s="2" customFormat="1" ht="15" x14ac:dyDescent="0.25">
      <c r="A26" s="6">
        <v>18</v>
      </c>
      <c r="B26" s="7" t="s">
        <v>96</v>
      </c>
      <c r="C26" s="6" t="s">
        <v>97</v>
      </c>
      <c r="D26" s="6" t="s">
        <v>91</v>
      </c>
      <c r="E26" s="6" t="s">
        <v>98</v>
      </c>
      <c r="F26" s="6" t="s">
        <v>99</v>
      </c>
      <c r="G26" s="8">
        <v>2</v>
      </c>
      <c r="H26" s="6" t="s">
        <v>100</v>
      </c>
      <c r="I26" s="7" t="s">
        <v>101</v>
      </c>
      <c r="J26" s="6" t="s">
        <v>34</v>
      </c>
    </row>
    <row r="27" spans="1:10" s="2" customFormat="1" ht="15" x14ac:dyDescent="0.25">
      <c r="A27" s="3">
        <v>19</v>
      </c>
      <c r="B27" s="4" t="s">
        <v>102</v>
      </c>
      <c r="C27" s="3" t="s">
        <v>103</v>
      </c>
      <c r="D27" s="3" t="s">
        <v>104</v>
      </c>
      <c r="E27" s="3" t="s">
        <v>105</v>
      </c>
      <c r="F27" s="3" t="s">
        <v>57</v>
      </c>
      <c r="G27" s="5">
        <v>4</v>
      </c>
      <c r="H27" s="3" t="s">
        <v>106</v>
      </c>
      <c r="I27" s="4" t="s">
        <v>107</v>
      </c>
      <c r="J27" s="3" t="s">
        <v>34</v>
      </c>
    </row>
    <row r="28" spans="1:10" s="2" customFormat="1" ht="15" x14ac:dyDescent="0.25">
      <c r="A28" s="6">
        <v>20</v>
      </c>
      <c r="B28" s="7" t="s">
        <v>108</v>
      </c>
      <c r="C28" s="6" t="s">
        <v>109</v>
      </c>
      <c r="D28" s="6" t="s">
        <v>110</v>
      </c>
      <c r="E28" s="6" t="s">
        <v>111</v>
      </c>
      <c r="F28" s="6" t="s">
        <v>50</v>
      </c>
      <c r="G28" s="8">
        <v>4</v>
      </c>
      <c r="H28" s="6" t="s">
        <v>112</v>
      </c>
      <c r="I28" s="7" t="s">
        <v>113</v>
      </c>
      <c r="J28" s="6" t="s">
        <v>114</v>
      </c>
    </row>
    <row r="29" spans="1:10" s="2" customFormat="1" ht="15" x14ac:dyDescent="0.25">
      <c r="A29" s="3">
        <v>21</v>
      </c>
      <c r="B29" s="4" t="s">
        <v>115</v>
      </c>
      <c r="C29" s="3" t="s">
        <v>116</v>
      </c>
      <c r="D29" s="3" t="s">
        <v>110</v>
      </c>
      <c r="E29" s="3" t="s">
        <v>81</v>
      </c>
      <c r="F29" s="3" t="s">
        <v>68</v>
      </c>
      <c r="G29" s="5">
        <v>2</v>
      </c>
      <c r="H29" s="3" t="s">
        <v>117</v>
      </c>
      <c r="I29" s="4" t="s">
        <v>118</v>
      </c>
      <c r="J29" s="3" t="s">
        <v>30</v>
      </c>
    </row>
    <row r="30" spans="1:10" s="2" customFormat="1" ht="15" x14ac:dyDescent="0.25">
      <c r="A30" s="6">
        <v>22</v>
      </c>
      <c r="B30" s="7" t="s">
        <v>115</v>
      </c>
      <c r="C30" s="6" t="s">
        <v>116</v>
      </c>
      <c r="D30" s="6" t="s">
        <v>110</v>
      </c>
      <c r="E30" s="6" t="s">
        <v>21</v>
      </c>
      <c r="F30" s="6" t="s">
        <v>21</v>
      </c>
      <c r="G30" s="8">
        <v>1</v>
      </c>
      <c r="H30" s="6" t="s">
        <v>119</v>
      </c>
      <c r="I30" s="7" t="s">
        <v>120</v>
      </c>
      <c r="J30" s="6" t="s">
        <v>121</v>
      </c>
    </row>
    <row r="31" spans="1:10" s="2" customFormat="1" ht="15" x14ac:dyDescent="0.25">
      <c r="A31" s="3">
        <v>23</v>
      </c>
      <c r="B31" s="4" t="s">
        <v>122</v>
      </c>
      <c r="C31" s="3" t="s">
        <v>123</v>
      </c>
      <c r="D31" s="3" t="s">
        <v>124</v>
      </c>
      <c r="E31" s="3" t="s">
        <v>56</v>
      </c>
      <c r="F31" s="3" t="s">
        <v>57</v>
      </c>
      <c r="G31" s="5">
        <v>2</v>
      </c>
      <c r="H31" s="3" t="s">
        <v>125</v>
      </c>
      <c r="I31" s="4" t="s">
        <v>126</v>
      </c>
      <c r="J31" s="3" t="s">
        <v>127</v>
      </c>
    </row>
    <row r="32" spans="1:10" s="2" customFormat="1" ht="15" x14ac:dyDescent="0.25">
      <c r="A32" s="6">
        <v>24</v>
      </c>
      <c r="B32" s="7" t="s">
        <v>122</v>
      </c>
      <c r="C32" s="6" t="s">
        <v>123</v>
      </c>
      <c r="D32" s="6" t="s">
        <v>124</v>
      </c>
      <c r="E32" s="6" t="s">
        <v>20</v>
      </c>
      <c r="F32" s="6" t="s">
        <v>21</v>
      </c>
      <c r="G32" s="8">
        <v>6</v>
      </c>
      <c r="H32" s="6" t="s">
        <v>125</v>
      </c>
      <c r="I32" s="7" t="s">
        <v>126</v>
      </c>
      <c r="J32" s="6" t="s">
        <v>128</v>
      </c>
    </row>
    <row r="33" spans="1:10" s="2" customFormat="1" ht="15" x14ac:dyDescent="0.25">
      <c r="A33" s="3">
        <v>25</v>
      </c>
      <c r="B33" s="4" t="s">
        <v>122</v>
      </c>
      <c r="C33" s="3" t="s">
        <v>123</v>
      </c>
      <c r="D33" s="3" t="s">
        <v>124</v>
      </c>
      <c r="E33" s="3" t="s">
        <v>50</v>
      </c>
      <c r="F33" s="3" t="s">
        <v>50</v>
      </c>
      <c r="G33" s="5">
        <v>1</v>
      </c>
      <c r="H33" s="3" t="s">
        <v>125</v>
      </c>
      <c r="I33" s="4" t="s">
        <v>126</v>
      </c>
      <c r="J33" s="3" t="s">
        <v>129</v>
      </c>
    </row>
    <row r="34" spans="1:10" s="2" customFormat="1" ht="15" x14ac:dyDescent="0.25">
      <c r="A34" s="6">
        <v>26</v>
      </c>
      <c r="B34" s="7" t="s">
        <v>130</v>
      </c>
      <c r="C34" s="6" t="s">
        <v>131</v>
      </c>
      <c r="D34" s="6" t="s">
        <v>132</v>
      </c>
      <c r="E34" s="6" t="s">
        <v>99</v>
      </c>
      <c r="F34" s="6" t="s">
        <v>21</v>
      </c>
      <c r="G34" s="8">
        <v>4</v>
      </c>
      <c r="H34" s="6" t="s">
        <v>133</v>
      </c>
      <c r="I34" s="7" t="s">
        <v>134</v>
      </c>
      <c r="J34" s="6" t="s">
        <v>114</v>
      </c>
    </row>
    <row r="35" spans="1:10" s="2" customFormat="1" ht="15" x14ac:dyDescent="0.25">
      <c r="A35" s="3">
        <v>27</v>
      </c>
      <c r="B35" s="4" t="s">
        <v>135</v>
      </c>
      <c r="C35" s="3" t="s">
        <v>136</v>
      </c>
      <c r="D35" s="3" t="s">
        <v>137</v>
      </c>
      <c r="E35" s="3" t="s">
        <v>105</v>
      </c>
      <c r="F35" s="3" t="s">
        <v>105</v>
      </c>
      <c r="G35" s="5">
        <v>1</v>
      </c>
      <c r="H35" s="3" t="s">
        <v>138</v>
      </c>
      <c r="I35" s="4" t="s">
        <v>139</v>
      </c>
      <c r="J35" s="3" t="s">
        <v>34</v>
      </c>
    </row>
    <row r="36" spans="1:10" s="2" customFormat="1" ht="15" x14ac:dyDescent="0.25">
      <c r="A36" s="6">
        <v>28</v>
      </c>
      <c r="B36" s="7" t="s">
        <v>140</v>
      </c>
      <c r="C36" s="6" t="s">
        <v>141</v>
      </c>
      <c r="D36" s="6" t="s">
        <v>142</v>
      </c>
      <c r="E36" s="6" t="s">
        <v>20</v>
      </c>
      <c r="F36" s="6" t="s">
        <v>98</v>
      </c>
      <c r="G36" s="8">
        <v>2</v>
      </c>
      <c r="H36" s="6" t="s">
        <v>143</v>
      </c>
      <c r="I36" s="7" t="s">
        <v>144</v>
      </c>
      <c r="J36" s="6" t="s">
        <v>34</v>
      </c>
    </row>
    <row r="37" spans="1:10" s="2" customFormat="1" ht="15" x14ac:dyDescent="0.25">
      <c r="A37" s="3">
        <v>29</v>
      </c>
      <c r="B37" s="4" t="s">
        <v>145</v>
      </c>
      <c r="C37" s="3" t="s">
        <v>146</v>
      </c>
      <c r="D37" s="3" t="s">
        <v>147</v>
      </c>
      <c r="E37" s="3" t="s">
        <v>68</v>
      </c>
      <c r="F37" s="3" t="s">
        <v>21</v>
      </c>
      <c r="G37" s="5">
        <v>2</v>
      </c>
      <c r="H37" s="3" t="s">
        <v>148</v>
      </c>
      <c r="I37" s="4" t="s">
        <v>149</v>
      </c>
      <c r="J37" s="3" t="s">
        <v>67</v>
      </c>
    </row>
    <row r="38" spans="1:10" s="2" customFormat="1" ht="15" x14ac:dyDescent="0.25">
      <c r="A38" s="6">
        <v>30</v>
      </c>
      <c r="B38" s="7" t="s">
        <v>150</v>
      </c>
      <c r="C38" s="6" t="s">
        <v>151</v>
      </c>
      <c r="D38" s="6" t="s">
        <v>152</v>
      </c>
      <c r="E38" s="6" t="s">
        <v>37</v>
      </c>
      <c r="F38" s="6" t="s">
        <v>37</v>
      </c>
      <c r="G38" s="8">
        <v>1</v>
      </c>
      <c r="H38" s="6" t="s">
        <v>138</v>
      </c>
      <c r="I38" s="7" t="s">
        <v>139</v>
      </c>
      <c r="J38" s="6" t="s">
        <v>34</v>
      </c>
    </row>
    <row r="39" spans="1:10" s="2" customFormat="1" ht="15" x14ac:dyDescent="0.25">
      <c r="A39" s="3">
        <v>31</v>
      </c>
      <c r="B39" s="4" t="s">
        <v>150</v>
      </c>
      <c r="C39" s="3" t="s">
        <v>151</v>
      </c>
      <c r="D39" s="3" t="s">
        <v>152</v>
      </c>
      <c r="E39" s="3" t="s">
        <v>111</v>
      </c>
      <c r="F39" s="3" t="s">
        <v>111</v>
      </c>
      <c r="G39" s="5">
        <v>1</v>
      </c>
      <c r="H39" s="3" t="s">
        <v>138</v>
      </c>
      <c r="I39" s="4" t="s">
        <v>139</v>
      </c>
      <c r="J39" s="3" t="s">
        <v>34</v>
      </c>
    </row>
    <row r="40" spans="1:10" s="2" customFormat="1" ht="15" x14ac:dyDescent="0.25">
      <c r="A40" s="6">
        <v>32</v>
      </c>
      <c r="B40" s="7" t="s">
        <v>153</v>
      </c>
      <c r="C40" s="6" t="s">
        <v>154</v>
      </c>
      <c r="D40" s="6" t="s">
        <v>155</v>
      </c>
      <c r="E40" s="6" t="s">
        <v>33</v>
      </c>
      <c r="F40" s="6" t="s">
        <v>33</v>
      </c>
      <c r="G40" s="8">
        <v>1</v>
      </c>
      <c r="H40" s="6" t="s">
        <v>156</v>
      </c>
      <c r="I40" s="7" t="s">
        <v>157</v>
      </c>
      <c r="J40" s="6" t="s">
        <v>158</v>
      </c>
    </row>
    <row r="41" spans="1:10" s="2" customFormat="1" ht="15" x14ac:dyDescent="0.25">
      <c r="A41" s="3">
        <v>33</v>
      </c>
      <c r="B41" s="4" t="s">
        <v>153</v>
      </c>
      <c r="C41" s="3" t="s">
        <v>154</v>
      </c>
      <c r="D41" s="3" t="s">
        <v>155</v>
      </c>
      <c r="E41" s="3" t="s">
        <v>49</v>
      </c>
      <c r="F41" s="3" t="s">
        <v>50</v>
      </c>
      <c r="G41" s="5">
        <v>2</v>
      </c>
      <c r="H41" s="3" t="s">
        <v>156</v>
      </c>
      <c r="I41" s="4" t="s">
        <v>157</v>
      </c>
      <c r="J41" s="3" t="s">
        <v>127</v>
      </c>
    </row>
    <row r="42" spans="1:10" s="2" customFormat="1" ht="15" x14ac:dyDescent="0.25">
      <c r="A42" s="6">
        <v>34</v>
      </c>
      <c r="B42" s="7" t="s">
        <v>159</v>
      </c>
      <c r="C42" s="6" t="s">
        <v>160</v>
      </c>
      <c r="D42" s="6" t="s">
        <v>155</v>
      </c>
      <c r="E42" s="6" t="s">
        <v>44</v>
      </c>
      <c r="F42" s="6" t="s">
        <v>45</v>
      </c>
      <c r="G42" s="8">
        <v>3</v>
      </c>
      <c r="H42" s="6" t="s">
        <v>51</v>
      </c>
      <c r="I42" s="7" t="s">
        <v>52</v>
      </c>
      <c r="J42" s="6" t="s">
        <v>60</v>
      </c>
    </row>
    <row r="43" spans="1:10" s="2" customFormat="1" ht="15" x14ac:dyDescent="0.25">
      <c r="A43" s="3">
        <v>35</v>
      </c>
      <c r="B43" s="4" t="s">
        <v>159</v>
      </c>
      <c r="C43" s="3" t="s">
        <v>160</v>
      </c>
      <c r="D43" s="3" t="s">
        <v>155</v>
      </c>
      <c r="E43" s="3" t="s">
        <v>49</v>
      </c>
      <c r="F43" s="3" t="s">
        <v>50</v>
      </c>
      <c r="G43" s="5">
        <v>2</v>
      </c>
      <c r="H43" s="3" t="s">
        <v>161</v>
      </c>
      <c r="I43" s="4" t="s">
        <v>162</v>
      </c>
      <c r="J43" s="3" t="s">
        <v>60</v>
      </c>
    </row>
    <row r="44" spans="1:10" s="2" customFormat="1" ht="15" x14ac:dyDescent="0.25">
      <c r="A44" s="6">
        <v>36</v>
      </c>
      <c r="B44" s="7" t="s">
        <v>163</v>
      </c>
      <c r="C44" s="6" t="s">
        <v>164</v>
      </c>
      <c r="D44" s="6" t="s">
        <v>165</v>
      </c>
      <c r="E44" s="6" t="s">
        <v>105</v>
      </c>
      <c r="F44" s="6" t="s">
        <v>105</v>
      </c>
      <c r="G44" s="8">
        <v>1</v>
      </c>
      <c r="H44" s="6" t="s">
        <v>166</v>
      </c>
      <c r="I44" s="7" t="s">
        <v>167</v>
      </c>
      <c r="J44" s="6" t="s">
        <v>114</v>
      </c>
    </row>
    <row r="45" spans="1:10" s="2" customFormat="1" ht="15" x14ac:dyDescent="0.25">
      <c r="A45" s="3">
        <v>37</v>
      </c>
      <c r="B45" s="4" t="s">
        <v>168</v>
      </c>
      <c r="C45" s="3" t="s">
        <v>169</v>
      </c>
      <c r="D45" s="3" t="s">
        <v>170</v>
      </c>
      <c r="E45" s="3" t="s">
        <v>71</v>
      </c>
      <c r="F45" s="3" t="s">
        <v>33</v>
      </c>
      <c r="G45" s="5">
        <v>3</v>
      </c>
      <c r="H45" s="3" t="s">
        <v>138</v>
      </c>
      <c r="I45" s="4" t="s">
        <v>139</v>
      </c>
      <c r="J45" s="3" t="s">
        <v>67</v>
      </c>
    </row>
    <row r="46" spans="1:10" s="2" customFormat="1" ht="15" x14ac:dyDescent="0.25">
      <c r="A46" s="6">
        <v>38</v>
      </c>
      <c r="B46" s="7" t="s">
        <v>171</v>
      </c>
      <c r="C46" s="6" t="s">
        <v>172</v>
      </c>
      <c r="D46" s="6" t="s">
        <v>173</v>
      </c>
      <c r="E46" s="6" t="s">
        <v>38</v>
      </c>
      <c r="F46" s="6" t="s">
        <v>38</v>
      </c>
      <c r="G46" s="8">
        <v>1</v>
      </c>
      <c r="H46" s="6" t="s">
        <v>100</v>
      </c>
      <c r="I46" s="7" t="s">
        <v>101</v>
      </c>
      <c r="J46" s="6" t="s">
        <v>30</v>
      </c>
    </row>
    <row r="47" spans="1:10" s="2" customFormat="1" ht="15" x14ac:dyDescent="0.25">
      <c r="A47" s="3">
        <v>39</v>
      </c>
      <c r="B47" s="4" t="s">
        <v>171</v>
      </c>
      <c r="C47" s="3" t="s">
        <v>172</v>
      </c>
      <c r="D47" s="3" t="s">
        <v>173</v>
      </c>
      <c r="E47" s="3" t="s">
        <v>49</v>
      </c>
      <c r="F47" s="3" t="s">
        <v>49</v>
      </c>
      <c r="G47" s="5">
        <v>1</v>
      </c>
      <c r="H47" s="3" t="s">
        <v>100</v>
      </c>
      <c r="I47" s="4" t="s">
        <v>101</v>
      </c>
      <c r="J47" s="3" t="s">
        <v>174</v>
      </c>
    </row>
    <row r="48" spans="1:10" s="2" customFormat="1" ht="15" x14ac:dyDescent="0.25">
      <c r="A48" s="6">
        <v>40</v>
      </c>
      <c r="B48" s="7" t="s">
        <v>175</v>
      </c>
      <c r="C48" s="6" t="s">
        <v>176</v>
      </c>
      <c r="D48" s="6" t="s">
        <v>173</v>
      </c>
      <c r="E48" s="6" t="s">
        <v>37</v>
      </c>
      <c r="F48" s="6" t="s">
        <v>37</v>
      </c>
      <c r="G48" s="8">
        <v>1</v>
      </c>
      <c r="H48" s="6" t="s">
        <v>100</v>
      </c>
      <c r="I48" s="7" t="s">
        <v>101</v>
      </c>
      <c r="J48" s="6" t="s">
        <v>30</v>
      </c>
    </row>
    <row r="49" spans="1:10" s="2" customFormat="1" ht="15" x14ac:dyDescent="0.25">
      <c r="A49" s="3">
        <v>41</v>
      </c>
      <c r="B49" s="4" t="s">
        <v>175</v>
      </c>
      <c r="C49" s="3" t="s">
        <v>176</v>
      </c>
      <c r="D49" s="3" t="s">
        <v>173</v>
      </c>
      <c r="E49" s="3" t="s">
        <v>68</v>
      </c>
      <c r="F49" s="3" t="s">
        <v>21</v>
      </c>
      <c r="G49" s="5">
        <v>2</v>
      </c>
      <c r="H49" s="3" t="s">
        <v>100</v>
      </c>
      <c r="I49" s="4" t="s">
        <v>101</v>
      </c>
      <c r="J49" s="3" t="s">
        <v>30</v>
      </c>
    </row>
    <row r="50" spans="1:10" s="2" customFormat="1" ht="15" x14ac:dyDescent="0.25">
      <c r="A50" s="6">
        <v>42</v>
      </c>
      <c r="B50" s="7" t="s">
        <v>177</v>
      </c>
      <c r="C50" s="6" t="s">
        <v>178</v>
      </c>
      <c r="D50" s="6" t="s">
        <v>179</v>
      </c>
      <c r="E50" s="6" t="s">
        <v>56</v>
      </c>
      <c r="F50" s="6" t="s">
        <v>180</v>
      </c>
      <c r="G50" s="8">
        <v>3</v>
      </c>
      <c r="H50" s="6" t="s">
        <v>181</v>
      </c>
      <c r="I50" s="7" t="s">
        <v>182</v>
      </c>
      <c r="J50" s="6" t="s">
        <v>30</v>
      </c>
    </row>
    <row r="51" spans="1:10" s="2" customFormat="1" ht="15" x14ac:dyDescent="0.25">
      <c r="A51" s="3">
        <v>43</v>
      </c>
      <c r="B51" s="4" t="s">
        <v>177</v>
      </c>
      <c r="C51" s="3" t="s">
        <v>178</v>
      </c>
      <c r="D51" s="3" t="s">
        <v>179</v>
      </c>
      <c r="E51" s="3" t="s">
        <v>111</v>
      </c>
      <c r="F51" s="3" t="s">
        <v>111</v>
      </c>
      <c r="G51" s="5">
        <v>1</v>
      </c>
      <c r="H51" s="3" t="s">
        <v>181</v>
      </c>
      <c r="I51" s="4" t="s">
        <v>182</v>
      </c>
      <c r="J51" s="3" t="s">
        <v>30</v>
      </c>
    </row>
    <row r="52" spans="1:10" s="2" customFormat="1" ht="15" x14ac:dyDescent="0.25">
      <c r="A52" s="6">
        <v>44</v>
      </c>
      <c r="B52" s="7" t="s">
        <v>183</v>
      </c>
      <c r="C52" s="6" t="s">
        <v>184</v>
      </c>
      <c r="D52" s="6" t="s">
        <v>179</v>
      </c>
      <c r="E52" s="6" t="s">
        <v>71</v>
      </c>
      <c r="F52" s="6" t="s">
        <v>71</v>
      </c>
      <c r="G52" s="8">
        <v>1</v>
      </c>
      <c r="H52" s="6" t="s">
        <v>181</v>
      </c>
      <c r="I52" s="7" t="s">
        <v>182</v>
      </c>
      <c r="J52" s="6" t="s">
        <v>30</v>
      </c>
    </row>
    <row r="53" spans="1:10" s="2" customFormat="1" ht="15" x14ac:dyDescent="0.25">
      <c r="A53" s="3">
        <v>45</v>
      </c>
      <c r="B53" s="4" t="s">
        <v>185</v>
      </c>
      <c r="C53" s="3" t="s">
        <v>186</v>
      </c>
      <c r="D53" s="3" t="s">
        <v>187</v>
      </c>
      <c r="E53" s="3" t="s">
        <v>57</v>
      </c>
      <c r="F53" s="3" t="s">
        <v>64</v>
      </c>
      <c r="G53" s="5">
        <v>3</v>
      </c>
      <c r="H53" s="3" t="s">
        <v>188</v>
      </c>
      <c r="I53" s="4" t="s">
        <v>189</v>
      </c>
      <c r="J53" s="3" t="s">
        <v>190</v>
      </c>
    </row>
    <row r="54" spans="1:10" s="2" customFormat="1" ht="15" x14ac:dyDescent="0.25">
      <c r="A54" s="6">
        <v>46</v>
      </c>
      <c r="B54" s="7" t="s">
        <v>191</v>
      </c>
      <c r="C54" s="6" t="s">
        <v>192</v>
      </c>
      <c r="D54" s="6" t="s">
        <v>193</v>
      </c>
      <c r="E54" s="6" t="s">
        <v>194</v>
      </c>
      <c r="F54" s="6" t="s">
        <v>194</v>
      </c>
      <c r="G54" s="8">
        <v>1</v>
      </c>
      <c r="H54" s="6" t="s">
        <v>195</v>
      </c>
      <c r="I54" s="7" t="s">
        <v>196</v>
      </c>
      <c r="J54" s="6" t="s">
        <v>197</v>
      </c>
    </row>
    <row r="55" spans="1:10" s="2" customFormat="1" ht="15" x14ac:dyDescent="0.25">
      <c r="A55" s="3">
        <v>47</v>
      </c>
      <c r="B55" s="4" t="s">
        <v>191</v>
      </c>
      <c r="C55" s="3" t="s">
        <v>192</v>
      </c>
      <c r="D55" s="3" t="s">
        <v>193</v>
      </c>
      <c r="E55" s="3" t="s">
        <v>50</v>
      </c>
      <c r="F55" s="3" t="s">
        <v>50</v>
      </c>
      <c r="G55" s="5">
        <v>1</v>
      </c>
      <c r="H55" s="3" t="s">
        <v>195</v>
      </c>
      <c r="I55" s="4" t="s">
        <v>196</v>
      </c>
      <c r="J55" s="3" t="s">
        <v>197</v>
      </c>
    </row>
    <row r="56" spans="1:10" s="2" customFormat="1" ht="15" x14ac:dyDescent="0.25">
      <c r="A56" s="6">
        <v>48</v>
      </c>
      <c r="B56" s="7" t="s">
        <v>198</v>
      </c>
      <c r="C56" s="6" t="s">
        <v>199</v>
      </c>
      <c r="D56" s="6" t="s">
        <v>200</v>
      </c>
      <c r="E56" s="6" t="s">
        <v>57</v>
      </c>
      <c r="F56" s="6" t="s">
        <v>57</v>
      </c>
      <c r="G56" s="8">
        <v>1</v>
      </c>
      <c r="H56" s="6" t="s">
        <v>201</v>
      </c>
      <c r="I56" s="7" t="s">
        <v>202</v>
      </c>
      <c r="J56" s="6" t="s">
        <v>203</v>
      </c>
    </row>
    <row r="57" spans="1:10" s="2" customFormat="1" ht="15" x14ac:dyDescent="0.25">
      <c r="A57" s="3">
        <v>49</v>
      </c>
      <c r="B57" s="4" t="s">
        <v>198</v>
      </c>
      <c r="C57" s="3" t="s">
        <v>199</v>
      </c>
      <c r="D57" s="3" t="s">
        <v>200</v>
      </c>
      <c r="E57" s="3" t="s">
        <v>44</v>
      </c>
      <c r="F57" s="3" t="s">
        <v>33</v>
      </c>
      <c r="G57" s="5">
        <v>2</v>
      </c>
      <c r="H57" s="3" t="s">
        <v>204</v>
      </c>
      <c r="I57" s="4" t="s">
        <v>205</v>
      </c>
      <c r="J57" s="3" t="s">
        <v>203</v>
      </c>
    </row>
    <row r="58" spans="1:10" s="2" customFormat="1" ht="15" x14ac:dyDescent="0.25">
      <c r="A58" s="6">
        <v>50</v>
      </c>
      <c r="B58" s="7" t="s">
        <v>198</v>
      </c>
      <c r="C58" s="6" t="s">
        <v>199</v>
      </c>
      <c r="D58" s="6" t="s">
        <v>200</v>
      </c>
      <c r="E58" s="6" t="s">
        <v>49</v>
      </c>
      <c r="F58" s="6" t="s">
        <v>50</v>
      </c>
      <c r="G58" s="8">
        <v>2</v>
      </c>
      <c r="H58" s="6" t="s">
        <v>204</v>
      </c>
      <c r="I58" s="7" t="s">
        <v>205</v>
      </c>
      <c r="J58" s="6" t="s">
        <v>203</v>
      </c>
    </row>
    <row r="59" spans="1:10" s="2" customFormat="1" ht="15" x14ac:dyDescent="0.25">
      <c r="A59" s="3">
        <v>51</v>
      </c>
      <c r="B59" s="4" t="s">
        <v>206</v>
      </c>
      <c r="C59" s="3" t="s">
        <v>207</v>
      </c>
      <c r="D59" s="3" t="s">
        <v>200</v>
      </c>
      <c r="E59" s="3" t="s">
        <v>194</v>
      </c>
      <c r="F59" s="3" t="s">
        <v>37</v>
      </c>
      <c r="G59" s="5">
        <v>3</v>
      </c>
      <c r="H59" s="3" t="s">
        <v>201</v>
      </c>
      <c r="I59" s="4" t="s">
        <v>202</v>
      </c>
      <c r="J59" s="3" t="s">
        <v>203</v>
      </c>
    </row>
    <row r="60" spans="1:10" s="2" customFormat="1" ht="15" x14ac:dyDescent="0.25">
      <c r="A60" s="6">
        <v>52</v>
      </c>
      <c r="B60" s="7" t="s">
        <v>208</v>
      </c>
      <c r="C60" s="6" t="s">
        <v>209</v>
      </c>
      <c r="D60" s="6" t="s">
        <v>210</v>
      </c>
      <c r="E60" s="6" t="s">
        <v>20</v>
      </c>
      <c r="F60" s="6" t="s">
        <v>98</v>
      </c>
      <c r="G60" s="8">
        <v>2</v>
      </c>
      <c r="H60" s="6" t="s">
        <v>188</v>
      </c>
      <c r="I60" s="7" t="s">
        <v>189</v>
      </c>
      <c r="J60" s="6" t="s">
        <v>34</v>
      </c>
    </row>
    <row r="61" spans="1:10" s="2" customFormat="1" ht="15" x14ac:dyDescent="0.25">
      <c r="A61" s="3">
        <v>53</v>
      </c>
      <c r="B61" s="4" t="s">
        <v>208</v>
      </c>
      <c r="C61" s="3" t="s">
        <v>209</v>
      </c>
      <c r="D61" s="3" t="s">
        <v>210</v>
      </c>
      <c r="E61" s="3" t="s">
        <v>71</v>
      </c>
      <c r="F61" s="3" t="s">
        <v>45</v>
      </c>
      <c r="G61" s="5">
        <v>4</v>
      </c>
      <c r="H61" s="3" t="s">
        <v>188</v>
      </c>
      <c r="I61" s="4" t="s">
        <v>189</v>
      </c>
      <c r="J61" s="3" t="s">
        <v>67</v>
      </c>
    </row>
    <row r="62" spans="1:10" s="2" customFormat="1" ht="15" x14ac:dyDescent="0.25">
      <c r="A62" s="6">
        <v>54</v>
      </c>
      <c r="B62" s="7" t="s">
        <v>208</v>
      </c>
      <c r="C62" s="6" t="s">
        <v>209</v>
      </c>
      <c r="D62" s="6" t="s">
        <v>210</v>
      </c>
      <c r="E62" s="6" t="s">
        <v>50</v>
      </c>
      <c r="F62" s="6" t="s">
        <v>50</v>
      </c>
      <c r="G62" s="8">
        <v>1</v>
      </c>
      <c r="H62" s="6" t="s">
        <v>188</v>
      </c>
      <c r="I62" s="7" t="s">
        <v>189</v>
      </c>
      <c r="J62" s="6" t="s">
        <v>67</v>
      </c>
    </row>
    <row r="63" spans="1:10" s="2" customFormat="1" ht="15" x14ac:dyDescent="0.25">
      <c r="A63" s="3">
        <v>55</v>
      </c>
      <c r="B63" s="4" t="s">
        <v>211</v>
      </c>
      <c r="C63" s="3" t="s">
        <v>212</v>
      </c>
      <c r="D63" s="3" t="s">
        <v>213</v>
      </c>
      <c r="E63" s="3" t="s">
        <v>214</v>
      </c>
      <c r="F63" s="3" t="s">
        <v>214</v>
      </c>
      <c r="G63" s="5">
        <v>1</v>
      </c>
      <c r="H63" s="3" t="s">
        <v>201</v>
      </c>
      <c r="I63" s="4" t="s">
        <v>202</v>
      </c>
      <c r="J63" s="3" t="s">
        <v>203</v>
      </c>
    </row>
    <row r="64" spans="1:10" s="2" customFormat="1" ht="15" x14ac:dyDescent="0.25">
      <c r="A64" s="6">
        <v>56</v>
      </c>
      <c r="B64" s="7" t="s">
        <v>211</v>
      </c>
      <c r="C64" s="6" t="s">
        <v>212</v>
      </c>
      <c r="D64" s="6" t="s">
        <v>213</v>
      </c>
      <c r="E64" s="6" t="s">
        <v>33</v>
      </c>
      <c r="F64" s="6" t="s">
        <v>33</v>
      </c>
      <c r="G64" s="8">
        <v>1</v>
      </c>
      <c r="H64" s="6" t="s">
        <v>201</v>
      </c>
      <c r="I64" s="7" t="s">
        <v>202</v>
      </c>
      <c r="J64" s="6" t="s">
        <v>203</v>
      </c>
    </row>
    <row r="65" spans="1:10" s="2" customFormat="1" ht="15" x14ac:dyDescent="0.25">
      <c r="A65" s="3">
        <v>57</v>
      </c>
      <c r="B65" s="4" t="s">
        <v>215</v>
      </c>
      <c r="C65" s="3" t="s">
        <v>216</v>
      </c>
      <c r="D65" s="3" t="s">
        <v>213</v>
      </c>
      <c r="E65" s="3" t="s">
        <v>194</v>
      </c>
      <c r="F65" s="3" t="s">
        <v>217</v>
      </c>
      <c r="G65" s="5">
        <v>5</v>
      </c>
      <c r="H65" s="3" t="s">
        <v>204</v>
      </c>
      <c r="I65" s="4" t="s">
        <v>205</v>
      </c>
      <c r="J65" s="3" t="s">
        <v>203</v>
      </c>
    </row>
    <row r="66" spans="1:10" s="2" customFormat="1" ht="15" x14ac:dyDescent="0.25">
      <c r="A66" s="6">
        <v>58</v>
      </c>
      <c r="B66" s="7" t="s">
        <v>215</v>
      </c>
      <c r="C66" s="6" t="s">
        <v>216</v>
      </c>
      <c r="D66" s="6" t="s">
        <v>213</v>
      </c>
      <c r="E66" s="6" t="s">
        <v>98</v>
      </c>
      <c r="F66" s="6" t="s">
        <v>81</v>
      </c>
      <c r="G66" s="8">
        <v>3</v>
      </c>
      <c r="H66" s="6" t="s">
        <v>204</v>
      </c>
      <c r="I66" s="7" t="s">
        <v>205</v>
      </c>
      <c r="J66" s="6" t="s">
        <v>203</v>
      </c>
    </row>
    <row r="67" spans="1:10" s="2" customFormat="1" ht="15" x14ac:dyDescent="0.25">
      <c r="A67" s="3">
        <v>59</v>
      </c>
      <c r="B67" s="4" t="s">
        <v>215</v>
      </c>
      <c r="C67" s="3" t="s">
        <v>216</v>
      </c>
      <c r="D67" s="3" t="s">
        <v>213</v>
      </c>
      <c r="E67" s="3" t="s">
        <v>49</v>
      </c>
      <c r="F67" s="3" t="s">
        <v>50</v>
      </c>
      <c r="G67" s="5">
        <v>2</v>
      </c>
      <c r="H67" s="3" t="s">
        <v>218</v>
      </c>
      <c r="I67" s="4" t="s">
        <v>219</v>
      </c>
      <c r="J67" s="3" t="s">
        <v>203</v>
      </c>
    </row>
    <row r="68" spans="1:10" s="2" customFormat="1" ht="15" x14ac:dyDescent="0.25">
      <c r="A68" s="6">
        <v>60</v>
      </c>
      <c r="B68" s="7" t="s">
        <v>220</v>
      </c>
      <c r="C68" s="6" t="s">
        <v>221</v>
      </c>
      <c r="D68" s="6" t="s">
        <v>222</v>
      </c>
      <c r="E68" s="6" t="s">
        <v>57</v>
      </c>
      <c r="F68" s="6" t="s">
        <v>180</v>
      </c>
      <c r="G68" s="8">
        <v>2</v>
      </c>
      <c r="H68" s="6" t="s">
        <v>223</v>
      </c>
      <c r="I68" s="7" t="s">
        <v>224</v>
      </c>
      <c r="J68" s="6" t="s">
        <v>34</v>
      </c>
    </row>
    <row r="69" spans="1:10" s="2" customFormat="1" ht="15" x14ac:dyDescent="0.25">
      <c r="A69" s="3">
        <v>61</v>
      </c>
      <c r="B69" s="4" t="s">
        <v>220</v>
      </c>
      <c r="C69" s="3" t="s">
        <v>221</v>
      </c>
      <c r="D69" s="3" t="s">
        <v>222</v>
      </c>
      <c r="E69" s="3" t="s">
        <v>217</v>
      </c>
      <c r="F69" s="3" t="s">
        <v>217</v>
      </c>
      <c r="G69" s="5">
        <v>1</v>
      </c>
      <c r="H69" s="3" t="s">
        <v>223</v>
      </c>
      <c r="I69" s="4" t="s">
        <v>224</v>
      </c>
      <c r="J69" s="3" t="s">
        <v>34</v>
      </c>
    </row>
    <row r="70" spans="1:10" s="2" customFormat="1" ht="15" x14ac:dyDescent="0.25">
      <c r="A70" s="6">
        <v>62</v>
      </c>
      <c r="B70" s="7" t="s">
        <v>220</v>
      </c>
      <c r="C70" s="6" t="s">
        <v>221</v>
      </c>
      <c r="D70" s="6" t="s">
        <v>222</v>
      </c>
      <c r="E70" s="6" t="s">
        <v>111</v>
      </c>
      <c r="F70" s="6" t="s">
        <v>111</v>
      </c>
      <c r="G70" s="8">
        <v>1</v>
      </c>
      <c r="H70" s="6" t="s">
        <v>225</v>
      </c>
      <c r="I70" s="7" t="s">
        <v>226</v>
      </c>
      <c r="J70" s="6" t="s">
        <v>227</v>
      </c>
    </row>
    <row r="71" spans="1:10" s="2" customFormat="1" ht="15" x14ac:dyDescent="0.25">
      <c r="A71" s="3">
        <v>63</v>
      </c>
      <c r="B71" s="4" t="s">
        <v>228</v>
      </c>
      <c r="C71" s="3" t="s">
        <v>229</v>
      </c>
      <c r="D71" s="3" t="s">
        <v>230</v>
      </c>
      <c r="E71" s="3" t="s">
        <v>99</v>
      </c>
      <c r="F71" s="3" t="s">
        <v>21</v>
      </c>
      <c r="G71" s="5">
        <v>4</v>
      </c>
      <c r="H71" s="3" t="s">
        <v>231</v>
      </c>
      <c r="I71" s="4" t="s">
        <v>232</v>
      </c>
      <c r="J71" s="3" t="s">
        <v>114</v>
      </c>
    </row>
    <row r="72" spans="1:10" s="2" customFormat="1" ht="15" x14ac:dyDescent="0.25">
      <c r="A72" s="6">
        <v>64</v>
      </c>
      <c r="B72" s="7" t="s">
        <v>228</v>
      </c>
      <c r="C72" s="6" t="s">
        <v>229</v>
      </c>
      <c r="D72" s="6" t="s">
        <v>230</v>
      </c>
      <c r="E72" s="6" t="s">
        <v>44</v>
      </c>
      <c r="F72" s="6" t="s">
        <v>45</v>
      </c>
      <c r="G72" s="8">
        <v>3</v>
      </c>
      <c r="H72" s="6" t="s">
        <v>231</v>
      </c>
      <c r="I72" s="7" t="s">
        <v>232</v>
      </c>
      <c r="J72" s="6" t="s">
        <v>114</v>
      </c>
    </row>
    <row r="73" spans="1:10" s="2" customFormat="1" ht="15" x14ac:dyDescent="0.25">
      <c r="A73" s="3">
        <v>65</v>
      </c>
      <c r="B73" s="4" t="s">
        <v>233</v>
      </c>
      <c r="C73" s="3" t="s">
        <v>234</v>
      </c>
      <c r="D73" s="3" t="s">
        <v>235</v>
      </c>
      <c r="E73" s="3" t="s">
        <v>20</v>
      </c>
      <c r="F73" s="3" t="s">
        <v>98</v>
      </c>
      <c r="G73" s="5">
        <v>2</v>
      </c>
      <c r="H73" s="3" t="s">
        <v>119</v>
      </c>
      <c r="I73" s="4" t="s">
        <v>120</v>
      </c>
      <c r="J73" s="3" t="s">
        <v>236</v>
      </c>
    </row>
    <row r="74" spans="1:10" s="2" customFormat="1" ht="15" x14ac:dyDescent="0.25">
      <c r="A74" s="6">
        <v>66</v>
      </c>
      <c r="B74" s="7" t="s">
        <v>237</v>
      </c>
      <c r="C74" s="6" t="s">
        <v>238</v>
      </c>
      <c r="D74" s="6" t="s">
        <v>235</v>
      </c>
      <c r="E74" s="6" t="s">
        <v>99</v>
      </c>
      <c r="F74" s="6" t="s">
        <v>21</v>
      </c>
      <c r="G74" s="8">
        <v>4</v>
      </c>
      <c r="H74" s="6" t="s">
        <v>239</v>
      </c>
      <c r="I74" s="7" t="s">
        <v>240</v>
      </c>
      <c r="J74" s="6" t="s">
        <v>128</v>
      </c>
    </row>
    <row r="75" spans="1:10" s="2" customFormat="1" ht="15" x14ac:dyDescent="0.25">
      <c r="A75" s="3">
        <v>67</v>
      </c>
      <c r="B75" s="4" t="s">
        <v>241</v>
      </c>
      <c r="C75" s="3" t="s">
        <v>242</v>
      </c>
      <c r="D75" s="3" t="s">
        <v>243</v>
      </c>
      <c r="E75" s="3" t="s">
        <v>217</v>
      </c>
      <c r="F75" s="3" t="s">
        <v>38</v>
      </c>
      <c r="G75" s="5">
        <v>2</v>
      </c>
      <c r="H75" s="3" t="s">
        <v>65</v>
      </c>
      <c r="I75" s="4" t="s">
        <v>244</v>
      </c>
      <c r="J75" s="3" t="s">
        <v>34</v>
      </c>
    </row>
    <row r="76" spans="1:10" s="2" customFormat="1" ht="15" x14ac:dyDescent="0.25">
      <c r="A76" s="6">
        <v>68</v>
      </c>
      <c r="B76" s="7" t="s">
        <v>245</v>
      </c>
      <c r="C76" s="6" t="s">
        <v>246</v>
      </c>
      <c r="D76" s="6" t="s">
        <v>247</v>
      </c>
      <c r="E76" s="6" t="s">
        <v>56</v>
      </c>
      <c r="F76" s="6" t="s">
        <v>56</v>
      </c>
      <c r="G76" s="8">
        <v>1</v>
      </c>
      <c r="H76" s="6" t="s">
        <v>92</v>
      </c>
      <c r="I76" s="7" t="s">
        <v>93</v>
      </c>
      <c r="J76" s="6" t="s">
        <v>248</v>
      </c>
    </row>
    <row r="77" spans="1:10" s="2" customFormat="1" ht="15" x14ac:dyDescent="0.25">
      <c r="A77" s="3">
        <v>69</v>
      </c>
      <c r="B77" s="4" t="s">
        <v>245</v>
      </c>
      <c r="C77" s="3" t="s">
        <v>246</v>
      </c>
      <c r="D77" s="3" t="s">
        <v>247</v>
      </c>
      <c r="E77" s="3" t="s">
        <v>81</v>
      </c>
      <c r="F77" s="3" t="s">
        <v>81</v>
      </c>
      <c r="G77" s="5">
        <v>1</v>
      </c>
      <c r="H77" s="3" t="s">
        <v>249</v>
      </c>
      <c r="I77" s="4" t="s">
        <v>250</v>
      </c>
      <c r="J77" s="3" t="s">
        <v>248</v>
      </c>
    </row>
    <row r="78" spans="1:10" s="2" customFormat="1" ht="15" x14ac:dyDescent="0.25">
      <c r="A78" s="6">
        <v>70</v>
      </c>
      <c r="B78" s="7" t="s">
        <v>245</v>
      </c>
      <c r="C78" s="6" t="s">
        <v>246</v>
      </c>
      <c r="D78" s="6" t="s">
        <v>247</v>
      </c>
      <c r="E78" s="6" t="s">
        <v>33</v>
      </c>
      <c r="F78" s="6" t="s">
        <v>45</v>
      </c>
      <c r="G78" s="8">
        <v>2</v>
      </c>
      <c r="H78" s="6" t="s">
        <v>251</v>
      </c>
      <c r="I78" s="7" t="s">
        <v>252</v>
      </c>
      <c r="J78" s="6" t="s">
        <v>248</v>
      </c>
    </row>
    <row r="79" spans="1:10" s="2" customFormat="1" ht="15" x14ac:dyDescent="0.25">
      <c r="A79" s="3">
        <v>71</v>
      </c>
      <c r="B79" s="4" t="s">
        <v>253</v>
      </c>
      <c r="C79" s="3" t="s">
        <v>254</v>
      </c>
      <c r="D79" s="3" t="s">
        <v>255</v>
      </c>
      <c r="E79" s="3" t="s">
        <v>99</v>
      </c>
      <c r="F79" s="3" t="s">
        <v>99</v>
      </c>
      <c r="G79" s="5">
        <v>1</v>
      </c>
      <c r="H79" s="3" t="s">
        <v>76</v>
      </c>
      <c r="I79" s="3" t="s">
        <v>76</v>
      </c>
      <c r="J79" s="3" t="s">
        <v>256</v>
      </c>
    </row>
    <row r="80" spans="1:10" s="2" customFormat="1" ht="15" x14ac:dyDescent="0.25">
      <c r="A80" s="6">
        <v>72</v>
      </c>
      <c r="B80" s="7" t="s">
        <v>253</v>
      </c>
      <c r="C80" s="6" t="s">
        <v>254</v>
      </c>
      <c r="D80" s="6" t="s">
        <v>255</v>
      </c>
      <c r="E80" s="6" t="s">
        <v>49</v>
      </c>
      <c r="F80" s="6" t="s">
        <v>49</v>
      </c>
      <c r="G80" s="8">
        <v>1</v>
      </c>
      <c r="H80" s="6" t="s">
        <v>257</v>
      </c>
      <c r="I80" s="7" t="s">
        <v>258</v>
      </c>
      <c r="J80" s="6" t="s">
        <v>34</v>
      </c>
    </row>
    <row r="81" spans="1:10" s="2" customFormat="1" ht="15" x14ac:dyDescent="0.25">
      <c r="A81" s="3">
        <v>73</v>
      </c>
      <c r="B81" s="4" t="s">
        <v>259</v>
      </c>
      <c r="C81" s="3" t="s">
        <v>260</v>
      </c>
      <c r="D81" s="3" t="s">
        <v>261</v>
      </c>
      <c r="E81" s="3" t="s">
        <v>111</v>
      </c>
      <c r="F81" s="3" t="s">
        <v>111</v>
      </c>
      <c r="G81" s="5">
        <v>1</v>
      </c>
      <c r="H81" s="3" t="s">
        <v>262</v>
      </c>
      <c r="I81" s="4" t="s">
        <v>263</v>
      </c>
      <c r="J81" s="3" t="s">
        <v>264</v>
      </c>
    </row>
    <row r="82" spans="1:10" s="2" customFormat="1" ht="15" x14ac:dyDescent="0.25">
      <c r="A82" s="6">
        <v>74</v>
      </c>
      <c r="B82" s="7" t="s">
        <v>265</v>
      </c>
      <c r="C82" s="6" t="s">
        <v>266</v>
      </c>
      <c r="D82" s="6" t="s">
        <v>261</v>
      </c>
      <c r="E82" s="6" t="s">
        <v>81</v>
      </c>
      <c r="F82" s="6" t="s">
        <v>21</v>
      </c>
      <c r="G82" s="8">
        <v>3</v>
      </c>
      <c r="H82" s="6" t="s">
        <v>267</v>
      </c>
      <c r="I82" s="7" t="s">
        <v>268</v>
      </c>
      <c r="J82" s="6" t="s">
        <v>256</v>
      </c>
    </row>
    <row r="83" spans="1:10" s="2" customFormat="1" ht="15" x14ac:dyDescent="0.25">
      <c r="A83" s="3">
        <v>75</v>
      </c>
      <c r="B83" s="4" t="s">
        <v>269</v>
      </c>
      <c r="C83" s="3" t="s">
        <v>270</v>
      </c>
      <c r="D83" s="3" t="s">
        <v>271</v>
      </c>
      <c r="E83" s="3" t="s">
        <v>68</v>
      </c>
      <c r="F83" s="3" t="s">
        <v>21</v>
      </c>
      <c r="G83" s="5">
        <v>2</v>
      </c>
      <c r="H83" s="3" t="s">
        <v>272</v>
      </c>
      <c r="I83" s="4" t="s">
        <v>273</v>
      </c>
      <c r="J83" s="3" t="s">
        <v>34</v>
      </c>
    </row>
    <row r="84" spans="1:10" s="2" customFormat="1" ht="15" x14ac:dyDescent="0.25">
      <c r="A84" s="6">
        <v>76</v>
      </c>
      <c r="B84" s="7" t="s">
        <v>269</v>
      </c>
      <c r="C84" s="6" t="s">
        <v>270</v>
      </c>
      <c r="D84" s="6" t="s">
        <v>271</v>
      </c>
      <c r="E84" s="6" t="s">
        <v>50</v>
      </c>
      <c r="F84" s="6" t="s">
        <v>50</v>
      </c>
      <c r="G84" s="8">
        <v>1</v>
      </c>
      <c r="H84" s="6" t="s">
        <v>100</v>
      </c>
      <c r="I84" s="7" t="s">
        <v>101</v>
      </c>
      <c r="J84" s="6" t="s">
        <v>34</v>
      </c>
    </row>
    <row r="85" spans="1:10" s="2" customFormat="1" ht="15" x14ac:dyDescent="0.25">
      <c r="A85" s="3">
        <v>77</v>
      </c>
      <c r="B85" s="4" t="s">
        <v>274</v>
      </c>
      <c r="C85" s="3" t="s">
        <v>51</v>
      </c>
      <c r="D85" s="3" t="s">
        <v>271</v>
      </c>
      <c r="E85" s="3" t="s">
        <v>56</v>
      </c>
      <c r="F85" s="3" t="s">
        <v>64</v>
      </c>
      <c r="G85" s="5">
        <v>4</v>
      </c>
      <c r="H85" s="3" t="s">
        <v>272</v>
      </c>
      <c r="I85" s="4" t="s">
        <v>273</v>
      </c>
      <c r="J85" s="3" t="s">
        <v>34</v>
      </c>
    </row>
    <row r="86" spans="1:10" s="2" customFormat="1" ht="15" x14ac:dyDescent="0.25">
      <c r="A86" s="6">
        <v>78</v>
      </c>
      <c r="B86" s="7" t="s">
        <v>274</v>
      </c>
      <c r="C86" s="6" t="s">
        <v>51</v>
      </c>
      <c r="D86" s="6" t="s">
        <v>271</v>
      </c>
      <c r="E86" s="6" t="s">
        <v>71</v>
      </c>
      <c r="F86" s="6" t="s">
        <v>33</v>
      </c>
      <c r="G86" s="8">
        <v>3</v>
      </c>
      <c r="H86" s="6" t="s">
        <v>272</v>
      </c>
      <c r="I86" s="7" t="s">
        <v>273</v>
      </c>
      <c r="J86" s="6" t="s">
        <v>34</v>
      </c>
    </row>
    <row r="87" spans="1:10" s="2" customFormat="1" ht="15" x14ac:dyDescent="0.25">
      <c r="A87" s="3">
        <v>79</v>
      </c>
      <c r="B87" s="4" t="s">
        <v>274</v>
      </c>
      <c r="C87" s="3" t="s">
        <v>51</v>
      </c>
      <c r="D87" s="3" t="s">
        <v>271</v>
      </c>
      <c r="E87" s="3" t="s">
        <v>111</v>
      </c>
      <c r="F87" s="3" t="s">
        <v>111</v>
      </c>
      <c r="G87" s="5">
        <v>1</v>
      </c>
      <c r="H87" s="3" t="s">
        <v>100</v>
      </c>
      <c r="I87" s="4" t="s">
        <v>101</v>
      </c>
      <c r="J87" s="3" t="s">
        <v>34</v>
      </c>
    </row>
    <row r="88" spans="1:10" s="2" customFormat="1" ht="15" x14ac:dyDescent="0.25">
      <c r="A88" s="6">
        <v>80</v>
      </c>
      <c r="B88" s="7" t="s">
        <v>275</v>
      </c>
      <c r="C88" s="6" t="s">
        <v>276</v>
      </c>
      <c r="D88" s="6" t="s">
        <v>277</v>
      </c>
      <c r="E88" s="6" t="s">
        <v>111</v>
      </c>
      <c r="F88" s="6" t="s">
        <v>111</v>
      </c>
      <c r="G88" s="8">
        <v>1</v>
      </c>
      <c r="H88" s="6" t="s">
        <v>188</v>
      </c>
      <c r="I88" s="7" t="s">
        <v>189</v>
      </c>
      <c r="J88" s="6" t="s">
        <v>34</v>
      </c>
    </row>
    <row r="89" spans="1:10" s="2" customFormat="1" ht="15" x14ac:dyDescent="0.25">
      <c r="A89" s="3">
        <v>81</v>
      </c>
      <c r="B89" s="4" t="s">
        <v>278</v>
      </c>
      <c r="C89" s="3" t="s">
        <v>279</v>
      </c>
      <c r="D89" s="3" t="s">
        <v>280</v>
      </c>
      <c r="E89" s="3" t="s">
        <v>56</v>
      </c>
      <c r="F89" s="3" t="s">
        <v>180</v>
      </c>
      <c r="G89" s="5">
        <v>3</v>
      </c>
      <c r="H89" s="3" t="s">
        <v>281</v>
      </c>
      <c r="I89" s="4" t="s">
        <v>282</v>
      </c>
      <c r="J89" s="3" t="s">
        <v>34</v>
      </c>
    </row>
    <row r="90" spans="1:10" s="2" customFormat="1" ht="15" x14ac:dyDescent="0.25">
      <c r="A90" s="6">
        <v>82</v>
      </c>
      <c r="B90" s="7" t="s">
        <v>278</v>
      </c>
      <c r="C90" s="6" t="s">
        <v>279</v>
      </c>
      <c r="D90" s="6" t="s">
        <v>280</v>
      </c>
      <c r="E90" s="6" t="s">
        <v>194</v>
      </c>
      <c r="F90" s="6" t="s">
        <v>75</v>
      </c>
      <c r="G90" s="8">
        <v>2</v>
      </c>
      <c r="H90" s="6" t="s">
        <v>281</v>
      </c>
      <c r="I90" s="7" t="s">
        <v>282</v>
      </c>
      <c r="J90" s="6" t="s">
        <v>256</v>
      </c>
    </row>
    <row r="91" spans="1:10" s="2" customFormat="1" ht="15" x14ac:dyDescent="0.25">
      <c r="A91" s="3">
        <v>83</v>
      </c>
      <c r="B91" s="4" t="s">
        <v>278</v>
      </c>
      <c r="C91" s="3" t="s">
        <v>279</v>
      </c>
      <c r="D91" s="3" t="s">
        <v>280</v>
      </c>
      <c r="E91" s="3" t="s">
        <v>217</v>
      </c>
      <c r="F91" s="3" t="s">
        <v>217</v>
      </c>
      <c r="G91" s="5">
        <v>1</v>
      </c>
      <c r="H91" s="3" t="s">
        <v>281</v>
      </c>
      <c r="I91" s="4" t="s">
        <v>282</v>
      </c>
      <c r="J91" s="3" t="s">
        <v>256</v>
      </c>
    </row>
    <row r="92" spans="1:10" s="2" customFormat="1" ht="15" x14ac:dyDescent="0.25">
      <c r="A92" s="6">
        <v>84</v>
      </c>
      <c r="B92" s="7" t="s">
        <v>283</v>
      </c>
      <c r="C92" s="6" t="s">
        <v>284</v>
      </c>
      <c r="D92" s="6" t="s">
        <v>280</v>
      </c>
      <c r="E92" s="6" t="s">
        <v>57</v>
      </c>
      <c r="F92" s="6" t="s">
        <v>64</v>
      </c>
      <c r="G92" s="8">
        <v>3</v>
      </c>
      <c r="H92" s="6" t="s">
        <v>285</v>
      </c>
      <c r="I92" s="7" t="s">
        <v>286</v>
      </c>
      <c r="J92" s="6" t="s">
        <v>88</v>
      </c>
    </row>
    <row r="93" spans="1:10" s="2" customFormat="1" ht="15" x14ac:dyDescent="0.25">
      <c r="A93" s="3">
        <v>85</v>
      </c>
      <c r="B93" s="4" t="s">
        <v>283</v>
      </c>
      <c r="C93" s="3" t="s">
        <v>284</v>
      </c>
      <c r="D93" s="3" t="s">
        <v>280</v>
      </c>
      <c r="E93" s="3" t="s">
        <v>37</v>
      </c>
      <c r="F93" s="3" t="s">
        <v>37</v>
      </c>
      <c r="G93" s="5">
        <v>1</v>
      </c>
      <c r="H93" s="3" t="s">
        <v>281</v>
      </c>
      <c r="I93" s="4" t="s">
        <v>282</v>
      </c>
      <c r="J93" s="3" t="s">
        <v>248</v>
      </c>
    </row>
    <row r="94" spans="1:10" s="2" customFormat="1" ht="15" x14ac:dyDescent="0.25">
      <c r="A94" s="6">
        <v>86</v>
      </c>
      <c r="B94" s="7" t="s">
        <v>283</v>
      </c>
      <c r="C94" s="6" t="s">
        <v>284</v>
      </c>
      <c r="D94" s="6" t="s">
        <v>280</v>
      </c>
      <c r="E94" s="6" t="s">
        <v>50</v>
      </c>
      <c r="F94" s="6" t="s">
        <v>50</v>
      </c>
      <c r="G94" s="8">
        <v>1</v>
      </c>
      <c r="H94" s="6" t="s">
        <v>285</v>
      </c>
      <c r="I94" s="7" t="s">
        <v>286</v>
      </c>
      <c r="J94" s="6" t="s">
        <v>34</v>
      </c>
    </row>
    <row r="95" spans="1:10" s="2" customFormat="1" ht="15" x14ac:dyDescent="0.25">
      <c r="A95" s="3">
        <v>87</v>
      </c>
      <c r="B95" s="4" t="s">
        <v>287</v>
      </c>
      <c r="C95" s="3" t="s">
        <v>288</v>
      </c>
      <c r="D95" s="3" t="s">
        <v>289</v>
      </c>
      <c r="E95" s="3" t="s">
        <v>21</v>
      </c>
      <c r="F95" s="3" t="s">
        <v>21</v>
      </c>
      <c r="G95" s="5">
        <v>1</v>
      </c>
      <c r="H95" s="3" t="s">
        <v>201</v>
      </c>
      <c r="I95" s="4" t="s">
        <v>202</v>
      </c>
      <c r="J95" s="3" t="s">
        <v>114</v>
      </c>
    </row>
    <row r="96" spans="1:10" s="2" customFormat="1" ht="15" x14ac:dyDescent="0.25">
      <c r="A96" s="6">
        <v>88</v>
      </c>
      <c r="B96" s="7" t="s">
        <v>287</v>
      </c>
      <c r="C96" s="6" t="s">
        <v>288</v>
      </c>
      <c r="D96" s="6" t="s">
        <v>289</v>
      </c>
      <c r="E96" s="6" t="s">
        <v>111</v>
      </c>
      <c r="F96" s="6" t="s">
        <v>111</v>
      </c>
      <c r="G96" s="8">
        <v>1</v>
      </c>
      <c r="H96" s="6" t="s">
        <v>201</v>
      </c>
      <c r="I96" s="7" t="s">
        <v>202</v>
      </c>
      <c r="J96" s="6" t="s">
        <v>114</v>
      </c>
    </row>
    <row r="97" spans="1:10" s="2" customFormat="1" ht="15" x14ac:dyDescent="0.25">
      <c r="A97" s="3">
        <v>89</v>
      </c>
      <c r="B97" s="4" t="s">
        <v>290</v>
      </c>
      <c r="C97" s="3" t="s">
        <v>291</v>
      </c>
      <c r="D97" s="3" t="s">
        <v>292</v>
      </c>
      <c r="E97" s="3" t="s">
        <v>56</v>
      </c>
      <c r="F97" s="3" t="s">
        <v>180</v>
      </c>
      <c r="G97" s="5">
        <v>3</v>
      </c>
      <c r="H97" s="3" t="s">
        <v>293</v>
      </c>
      <c r="I97" s="4" t="s">
        <v>294</v>
      </c>
      <c r="J97" s="3" t="s">
        <v>34</v>
      </c>
    </row>
    <row r="98" spans="1:10" s="2" customFormat="1" ht="15" x14ac:dyDescent="0.25">
      <c r="A98" s="6">
        <v>90</v>
      </c>
      <c r="B98" s="7" t="s">
        <v>295</v>
      </c>
      <c r="C98" s="6" t="s">
        <v>296</v>
      </c>
      <c r="D98" s="6" t="s">
        <v>292</v>
      </c>
      <c r="E98" s="6" t="s">
        <v>57</v>
      </c>
      <c r="F98" s="6" t="s">
        <v>64</v>
      </c>
      <c r="G98" s="8">
        <v>3</v>
      </c>
      <c r="H98" s="6" t="s">
        <v>297</v>
      </c>
      <c r="I98" s="7" t="s">
        <v>298</v>
      </c>
      <c r="J98" s="6" t="s">
        <v>34</v>
      </c>
    </row>
    <row r="99" spans="1:10" s="2" customFormat="1" ht="15" x14ac:dyDescent="0.25">
      <c r="A99" s="3">
        <v>91</v>
      </c>
      <c r="B99" s="4" t="s">
        <v>295</v>
      </c>
      <c r="C99" s="3" t="s">
        <v>296</v>
      </c>
      <c r="D99" s="3" t="s">
        <v>292</v>
      </c>
      <c r="E99" s="3" t="s">
        <v>75</v>
      </c>
      <c r="F99" s="3" t="s">
        <v>214</v>
      </c>
      <c r="G99" s="5">
        <v>3</v>
      </c>
      <c r="H99" s="3" t="s">
        <v>297</v>
      </c>
      <c r="I99" s="4" t="s">
        <v>298</v>
      </c>
      <c r="J99" s="3" t="s">
        <v>34</v>
      </c>
    </row>
    <row r="100" spans="1:10" s="2" customFormat="1" ht="15" x14ac:dyDescent="0.25">
      <c r="A100" s="6">
        <v>92</v>
      </c>
      <c r="B100" s="7" t="s">
        <v>299</v>
      </c>
      <c r="C100" s="6" t="s">
        <v>300</v>
      </c>
      <c r="D100" s="6" t="s">
        <v>301</v>
      </c>
      <c r="E100" s="6" t="s">
        <v>98</v>
      </c>
      <c r="F100" s="6" t="s">
        <v>33</v>
      </c>
      <c r="G100" s="8">
        <v>9</v>
      </c>
      <c r="H100" s="6" t="s">
        <v>302</v>
      </c>
      <c r="I100" s="7" t="s">
        <v>303</v>
      </c>
      <c r="J100" s="6" t="s">
        <v>304</v>
      </c>
    </row>
    <row r="101" spans="1:10" s="2" customFormat="1" ht="15" x14ac:dyDescent="0.25">
      <c r="A101" s="3">
        <v>93</v>
      </c>
      <c r="B101" s="4" t="s">
        <v>305</v>
      </c>
      <c r="C101" s="3" t="s">
        <v>306</v>
      </c>
      <c r="D101" s="3" t="s">
        <v>307</v>
      </c>
      <c r="E101" s="3" t="s">
        <v>57</v>
      </c>
      <c r="F101" s="3" t="s">
        <v>64</v>
      </c>
      <c r="G101" s="5">
        <v>3</v>
      </c>
      <c r="H101" s="3" t="s">
        <v>308</v>
      </c>
      <c r="I101" s="4" t="s">
        <v>309</v>
      </c>
      <c r="J101" s="3" t="s">
        <v>114</v>
      </c>
    </row>
    <row r="102" spans="1:10" s="2" customFormat="1" ht="15" x14ac:dyDescent="0.25">
      <c r="A102" s="6">
        <v>94</v>
      </c>
      <c r="B102" s="7" t="s">
        <v>305</v>
      </c>
      <c r="C102" s="6" t="s">
        <v>306</v>
      </c>
      <c r="D102" s="6" t="s">
        <v>307</v>
      </c>
      <c r="E102" s="6" t="s">
        <v>111</v>
      </c>
      <c r="F102" s="6" t="s">
        <v>111</v>
      </c>
      <c r="G102" s="8">
        <v>1</v>
      </c>
      <c r="H102" s="6" t="s">
        <v>297</v>
      </c>
      <c r="I102" s="7" t="s">
        <v>298</v>
      </c>
      <c r="J102" s="6" t="s">
        <v>60</v>
      </c>
    </row>
    <row r="103" spans="1:10" s="2" customFormat="1" ht="15" x14ac:dyDescent="0.25">
      <c r="A103" s="3">
        <v>95</v>
      </c>
      <c r="B103" s="4" t="s">
        <v>305</v>
      </c>
      <c r="C103" s="3" t="s">
        <v>306</v>
      </c>
      <c r="D103" s="3" t="s">
        <v>307</v>
      </c>
      <c r="E103" s="3" t="s">
        <v>49</v>
      </c>
      <c r="F103" s="3" t="s">
        <v>50</v>
      </c>
      <c r="G103" s="5">
        <v>2</v>
      </c>
      <c r="H103" s="3" t="s">
        <v>297</v>
      </c>
      <c r="I103" s="4" t="s">
        <v>298</v>
      </c>
      <c r="J103" s="3" t="s">
        <v>60</v>
      </c>
    </row>
    <row r="104" spans="1:10" s="2" customFormat="1" ht="15" x14ac:dyDescent="0.25">
      <c r="A104" s="6">
        <v>96</v>
      </c>
      <c r="B104" s="7" t="s">
        <v>310</v>
      </c>
      <c r="C104" s="6" t="s">
        <v>311</v>
      </c>
      <c r="D104" s="6" t="s">
        <v>312</v>
      </c>
      <c r="E104" s="6" t="s">
        <v>180</v>
      </c>
      <c r="F104" s="6" t="s">
        <v>64</v>
      </c>
      <c r="G104" s="8">
        <v>2</v>
      </c>
      <c r="H104" s="6" t="s">
        <v>313</v>
      </c>
      <c r="I104" s="7" t="s">
        <v>314</v>
      </c>
      <c r="J104" s="6" t="s">
        <v>315</v>
      </c>
    </row>
    <row r="105" spans="1:10" s="2" customFormat="1" ht="15" x14ac:dyDescent="0.25">
      <c r="A105" s="3">
        <v>97</v>
      </c>
      <c r="B105" s="4" t="s">
        <v>310</v>
      </c>
      <c r="C105" s="3" t="s">
        <v>311</v>
      </c>
      <c r="D105" s="3" t="s">
        <v>312</v>
      </c>
      <c r="E105" s="3" t="s">
        <v>98</v>
      </c>
      <c r="F105" s="3" t="s">
        <v>98</v>
      </c>
      <c r="G105" s="5">
        <v>1</v>
      </c>
      <c r="H105" s="3" t="s">
        <v>313</v>
      </c>
      <c r="I105" s="4" t="s">
        <v>314</v>
      </c>
      <c r="J105" s="3" t="s">
        <v>316</v>
      </c>
    </row>
    <row r="106" spans="1:10" s="2" customFormat="1" ht="15" x14ac:dyDescent="0.25">
      <c r="A106" s="6">
        <v>98</v>
      </c>
      <c r="B106" s="7" t="s">
        <v>317</v>
      </c>
      <c r="C106" s="6" t="s">
        <v>318</v>
      </c>
      <c r="D106" s="6" t="s">
        <v>319</v>
      </c>
      <c r="E106" s="6" t="s">
        <v>37</v>
      </c>
      <c r="F106" s="6" t="s">
        <v>214</v>
      </c>
      <c r="G106" s="8">
        <v>2</v>
      </c>
      <c r="H106" s="6" t="s">
        <v>320</v>
      </c>
      <c r="I106" s="7" t="s">
        <v>321</v>
      </c>
      <c r="J106" s="6" t="s">
        <v>88</v>
      </c>
    </row>
    <row r="107" spans="1:10" s="2" customFormat="1" ht="15" x14ac:dyDescent="0.25">
      <c r="A107" s="3">
        <v>99</v>
      </c>
      <c r="B107" s="4" t="s">
        <v>322</v>
      </c>
      <c r="C107" s="3" t="s">
        <v>323</v>
      </c>
      <c r="D107" s="3" t="s">
        <v>319</v>
      </c>
      <c r="E107" s="3" t="s">
        <v>105</v>
      </c>
      <c r="F107" s="3" t="s">
        <v>194</v>
      </c>
      <c r="G107" s="5">
        <v>8</v>
      </c>
      <c r="H107" s="3" t="s">
        <v>148</v>
      </c>
      <c r="I107" s="4" t="s">
        <v>149</v>
      </c>
      <c r="J107" s="3" t="s">
        <v>34</v>
      </c>
    </row>
    <row r="108" spans="1:10" s="2" customFormat="1" ht="15" x14ac:dyDescent="0.25">
      <c r="A108" s="6">
        <v>100</v>
      </c>
      <c r="B108" s="7" t="s">
        <v>322</v>
      </c>
      <c r="C108" s="6" t="s">
        <v>323</v>
      </c>
      <c r="D108" s="6" t="s">
        <v>319</v>
      </c>
      <c r="E108" s="6" t="s">
        <v>21</v>
      </c>
      <c r="F108" s="6" t="s">
        <v>21</v>
      </c>
      <c r="G108" s="8">
        <v>1</v>
      </c>
      <c r="H108" s="6" t="s">
        <v>324</v>
      </c>
      <c r="I108" s="7" t="s">
        <v>325</v>
      </c>
      <c r="J108" s="6" t="s">
        <v>326</v>
      </c>
    </row>
    <row r="109" spans="1:10" s="2" customFormat="1" ht="15" x14ac:dyDescent="0.25">
      <c r="A109" s="3">
        <v>101</v>
      </c>
      <c r="B109" s="4" t="s">
        <v>327</v>
      </c>
      <c r="C109" s="3" t="s">
        <v>328</v>
      </c>
      <c r="D109" s="3" t="s">
        <v>329</v>
      </c>
      <c r="E109" s="3" t="s">
        <v>194</v>
      </c>
      <c r="F109" s="3" t="s">
        <v>37</v>
      </c>
      <c r="G109" s="5">
        <v>3</v>
      </c>
      <c r="H109" s="3" t="s">
        <v>76</v>
      </c>
      <c r="I109" s="3" t="s">
        <v>76</v>
      </c>
      <c r="J109" s="3" t="s">
        <v>34</v>
      </c>
    </row>
    <row r="110" spans="1:10" s="2" customFormat="1" ht="15" x14ac:dyDescent="0.25">
      <c r="A110" s="6">
        <v>102</v>
      </c>
      <c r="B110" s="7" t="s">
        <v>327</v>
      </c>
      <c r="C110" s="6" t="s">
        <v>328</v>
      </c>
      <c r="D110" s="6" t="s">
        <v>329</v>
      </c>
      <c r="E110" s="6" t="s">
        <v>20</v>
      </c>
      <c r="F110" s="6" t="s">
        <v>98</v>
      </c>
      <c r="G110" s="8">
        <v>2</v>
      </c>
      <c r="H110" s="6" t="s">
        <v>330</v>
      </c>
      <c r="I110" s="7" t="s">
        <v>331</v>
      </c>
      <c r="J110" s="6" t="s">
        <v>34</v>
      </c>
    </row>
    <row r="111" spans="1:10" s="2" customFormat="1" ht="15" x14ac:dyDescent="0.25">
      <c r="A111" s="3">
        <v>103</v>
      </c>
      <c r="B111" s="4" t="s">
        <v>327</v>
      </c>
      <c r="C111" s="3" t="s">
        <v>328</v>
      </c>
      <c r="D111" s="3" t="s">
        <v>329</v>
      </c>
      <c r="E111" s="3" t="s">
        <v>68</v>
      </c>
      <c r="F111" s="3" t="s">
        <v>21</v>
      </c>
      <c r="G111" s="5">
        <v>2</v>
      </c>
      <c r="H111" s="3" t="s">
        <v>330</v>
      </c>
      <c r="I111" s="4" t="s">
        <v>331</v>
      </c>
      <c r="J111" s="3" t="s">
        <v>34</v>
      </c>
    </row>
    <row r="112" spans="1:10" s="2" customFormat="1" ht="15" x14ac:dyDescent="0.25">
      <c r="A112" s="6">
        <v>104</v>
      </c>
      <c r="B112" s="7" t="s">
        <v>327</v>
      </c>
      <c r="C112" s="6" t="s">
        <v>328</v>
      </c>
      <c r="D112" s="6" t="s">
        <v>329</v>
      </c>
      <c r="E112" s="6" t="s">
        <v>71</v>
      </c>
      <c r="F112" s="6" t="s">
        <v>44</v>
      </c>
      <c r="G112" s="8">
        <v>2</v>
      </c>
      <c r="H112" s="6" t="s">
        <v>330</v>
      </c>
      <c r="I112" s="7" t="s">
        <v>331</v>
      </c>
      <c r="J112" s="6" t="s">
        <v>34</v>
      </c>
    </row>
    <row r="113" spans="1:10" s="2" customFormat="1" ht="15" x14ac:dyDescent="0.25">
      <c r="A113" s="3">
        <v>105</v>
      </c>
      <c r="B113" s="4" t="s">
        <v>327</v>
      </c>
      <c r="C113" s="3" t="s">
        <v>328</v>
      </c>
      <c r="D113" s="3" t="s">
        <v>329</v>
      </c>
      <c r="E113" s="3" t="s">
        <v>45</v>
      </c>
      <c r="F113" s="3" t="s">
        <v>45</v>
      </c>
      <c r="G113" s="5">
        <v>1</v>
      </c>
      <c r="H113" s="3" t="s">
        <v>330</v>
      </c>
      <c r="I113" s="4" t="s">
        <v>331</v>
      </c>
      <c r="J113" s="3" t="s">
        <v>34</v>
      </c>
    </row>
    <row r="114" spans="1:10" s="2" customFormat="1" ht="15" x14ac:dyDescent="0.25">
      <c r="A114" s="6">
        <v>106</v>
      </c>
      <c r="B114" s="7" t="s">
        <v>332</v>
      </c>
      <c r="C114" s="6" t="s">
        <v>333</v>
      </c>
      <c r="D114" s="6" t="s">
        <v>334</v>
      </c>
      <c r="E114" s="6" t="s">
        <v>111</v>
      </c>
      <c r="F114" s="6" t="s">
        <v>111</v>
      </c>
      <c r="G114" s="8">
        <v>1</v>
      </c>
      <c r="H114" s="6" t="s">
        <v>335</v>
      </c>
      <c r="I114" s="7" t="s">
        <v>336</v>
      </c>
      <c r="J114" s="6" t="s">
        <v>34</v>
      </c>
    </row>
    <row r="115" spans="1:10" s="2" customFormat="1" ht="15" x14ac:dyDescent="0.25">
      <c r="A115" s="3">
        <v>107</v>
      </c>
      <c r="B115" s="4" t="s">
        <v>337</v>
      </c>
      <c r="C115" s="3" t="s">
        <v>338</v>
      </c>
      <c r="D115" s="3" t="s">
        <v>339</v>
      </c>
      <c r="E115" s="3" t="s">
        <v>99</v>
      </c>
      <c r="F115" s="3" t="s">
        <v>81</v>
      </c>
      <c r="G115" s="5">
        <v>2</v>
      </c>
      <c r="H115" s="3" t="s">
        <v>340</v>
      </c>
      <c r="I115" s="4" t="s">
        <v>341</v>
      </c>
      <c r="J115" s="3" t="s">
        <v>34</v>
      </c>
    </row>
    <row r="116" spans="1:10" s="2" customFormat="1" ht="15" x14ac:dyDescent="0.25">
      <c r="A116" s="6">
        <v>108</v>
      </c>
      <c r="B116" s="7" t="s">
        <v>342</v>
      </c>
      <c r="C116" s="6" t="s">
        <v>343</v>
      </c>
      <c r="D116" s="6" t="s">
        <v>344</v>
      </c>
      <c r="E116" s="6" t="s">
        <v>37</v>
      </c>
      <c r="F116" s="6" t="s">
        <v>214</v>
      </c>
      <c r="G116" s="8">
        <v>2</v>
      </c>
      <c r="H116" s="6" t="s">
        <v>345</v>
      </c>
      <c r="I116" s="7" t="s">
        <v>346</v>
      </c>
      <c r="J116" s="6" t="s">
        <v>114</v>
      </c>
    </row>
    <row r="117" spans="1:10" s="2" customFormat="1" ht="15" x14ac:dyDescent="0.25">
      <c r="A117" s="3">
        <v>109</v>
      </c>
      <c r="B117" s="4" t="s">
        <v>342</v>
      </c>
      <c r="C117" s="3" t="s">
        <v>343</v>
      </c>
      <c r="D117" s="3" t="s">
        <v>344</v>
      </c>
      <c r="E117" s="3" t="s">
        <v>50</v>
      </c>
      <c r="F117" s="3" t="s">
        <v>50</v>
      </c>
      <c r="G117" s="5">
        <v>1</v>
      </c>
      <c r="H117" s="3" t="s">
        <v>345</v>
      </c>
      <c r="I117" s="4" t="s">
        <v>346</v>
      </c>
      <c r="J117" s="3" t="s">
        <v>114</v>
      </c>
    </row>
    <row r="118" spans="1:10" s="2" customFormat="1" ht="15" x14ac:dyDescent="0.25">
      <c r="A118" s="6">
        <v>110</v>
      </c>
      <c r="B118" s="7" t="s">
        <v>347</v>
      </c>
      <c r="C118" s="6" t="s">
        <v>348</v>
      </c>
      <c r="D118" s="6" t="s">
        <v>349</v>
      </c>
      <c r="E118" s="6" t="s">
        <v>20</v>
      </c>
      <c r="F118" s="6" t="s">
        <v>98</v>
      </c>
      <c r="G118" s="8">
        <v>2</v>
      </c>
      <c r="H118" s="6" t="s">
        <v>350</v>
      </c>
      <c r="I118" s="7" t="s">
        <v>351</v>
      </c>
      <c r="J118" s="6" t="s">
        <v>304</v>
      </c>
    </row>
    <row r="119" spans="1:10" s="2" customFormat="1" ht="15" x14ac:dyDescent="0.25">
      <c r="A119" s="3">
        <v>111</v>
      </c>
      <c r="B119" s="4" t="s">
        <v>347</v>
      </c>
      <c r="C119" s="3" t="s">
        <v>348</v>
      </c>
      <c r="D119" s="3" t="s">
        <v>349</v>
      </c>
      <c r="E119" s="3" t="s">
        <v>49</v>
      </c>
      <c r="F119" s="3" t="s">
        <v>49</v>
      </c>
      <c r="G119" s="5">
        <v>1</v>
      </c>
      <c r="H119" s="3" t="s">
        <v>352</v>
      </c>
      <c r="I119" s="4" t="s">
        <v>353</v>
      </c>
      <c r="J119" s="3" t="s">
        <v>304</v>
      </c>
    </row>
    <row r="120" spans="1:10" s="2" customFormat="1" ht="15" x14ac:dyDescent="0.25">
      <c r="A120" s="6">
        <v>112</v>
      </c>
      <c r="B120" s="7" t="s">
        <v>347</v>
      </c>
      <c r="C120" s="6" t="s">
        <v>348</v>
      </c>
      <c r="D120" s="6" t="s">
        <v>349</v>
      </c>
      <c r="E120" s="6" t="s">
        <v>50</v>
      </c>
      <c r="F120" s="6" t="s">
        <v>50</v>
      </c>
      <c r="G120" s="8">
        <v>1</v>
      </c>
      <c r="H120" s="6" t="s">
        <v>350</v>
      </c>
      <c r="I120" s="7" t="s">
        <v>351</v>
      </c>
      <c r="J120" s="6" t="s">
        <v>304</v>
      </c>
    </row>
    <row r="121" spans="1:10" s="2" customFormat="1" ht="15" x14ac:dyDescent="0.25">
      <c r="A121" s="3">
        <v>113</v>
      </c>
      <c r="B121" s="4" t="s">
        <v>354</v>
      </c>
      <c r="C121" s="3" t="s">
        <v>355</v>
      </c>
      <c r="D121" s="3" t="s">
        <v>349</v>
      </c>
      <c r="E121" s="3" t="s">
        <v>71</v>
      </c>
      <c r="F121" s="3" t="s">
        <v>33</v>
      </c>
      <c r="G121" s="5">
        <v>3</v>
      </c>
      <c r="H121" s="3" t="s">
        <v>356</v>
      </c>
      <c r="I121" s="4" t="s">
        <v>357</v>
      </c>
      <c r="J121" s="3" t="s">
        <v>358</v>
      </c>
    </row>
    <row r="122" spans="1:10" s="2" customFormat="1" ht="15" x14ac:dyDescent="0.25">
      <c r="A122" s="6">
        <v>114</v>
      </c>
      <c r="B122" s="7" t="s">
        <v>354</v>
      </c>
      <c r="C122" s="6" t="s">
        <v>355</v>
      </c>
      <c r="D122" s="6" t="s">
        <v>349</v>
      </c>
      <c r="E122" s="6" t="s">
        <v>45</v>
      </c>
      <c r="F122" s="6" t="s">
        <v>45</v>
      </c>
      <c r="G122" s="8">
        <v>1</v>
      </c>
      <c r="H122" s="6" t="s">
        <v>356</v>
      </c>
      <c r="I122" s="7" t="s">
        <v>357</v>
      </c>
      <c r="J122" s="6" t="s">
        <v>359</v>
      </c>
    </row>
    <row r="123" spans="1:10" s="2" customFormat="1" ht="15" x14ac:dyDescent="0.25">
      <c r="A123" s="3">
        <v>115</v>
      </c>
      <c r="B123" s="4" t="s">
        <v>354</v>
      </c>
      <c r="C123" s="3" t="s">
        <v>355</v>
      </c>
      <c r="D123" s="3" t="s">
        <v>349</v>
      </c>
      <c r="E123" s="3" t="s">
        <v>49</v>
      </c>
      <c r="F123" s="3" t="s">
        <v>50</v>
      </c>
      <c r="G123" s="5">
        <v>2</v>
      </c>
      <c r="H123" s="3" t="s">
        <v>356</v>
      </c>
      <c r="I123" s="4" t="s">
        <v>357</v>
      </c>
      <c r="J123" s="3" t="s">
        <v>360</v>
      </c>
    </row>
    <row r="124" spans="1:10" s="2" customFormat="1" ht="15" x14ac:dyDescent="0.25">
      <c r="A124" s="6">
        <v>116</v>
      </c>
      <c r="B124" s="7" t="s">
        <v>361</v>
      </c>
      <c r="C124" s="6" t="s">
        <v>362</v>
      </c>
      <c r="D124" s="6" t="s">
        <v>363</v>
      </c>
      <c r="E124" s="6" t="s">
        <v>99</v>
      </c>
      <c r="F124" s="6" t="s">
        <v>68</v>
      </c>
      <c r="G124" s="8">
        <v>3</v>
      </c>
      <c r="H124" s="6" t="s">
        <v>364</v>
      </c>
      <c r="I124" s="7" t="s">
        <v>365</v>
      </c>
      <c r="J124" s="6" t="s">
        <v>248</v>
      </c>
    </row>
    <row r="125" spans="1:10" s="2" customFormat="1" ht="15" x14ac:dyDescent="0.25">
      <c r="A125" s="3">
        <v>117</v>
      </c>
      <c r="B125" s="4" t="s">
        <v>366</v>
      </c>
      <c r="C125" s="3" t="s">
        <v>367</v>
      </c>
      <c r="D125" s="3" t="s">
        <v>368</v>
      </c>
      <c r="E125" s="3" t="s">
        <v>105</v>
      </c>
      <c r="F125" s="3" t="s">
        <v>180</v>
      </c>
      <c r="G125" s="5">
        <v>5</v>
      </c>
      <c r="H125" s="3" t="s">
        <v>369</v>
      </c>
      <c r="I125" s="4" t="s">
        <v>370</v>
      </c>
      <c r="J125" s="3" t="s">
        <v>30</v>
      </c>
    </row>
    <row r="126" spans="1:10" s="2" customFormat="1" ht="15" x14ac:dyDescent="0.25">
      <c r="A126" s="6">
        <v>118</v>
      </c>
      <c r="B126" s="7" t="s">
        <v>366</v>
      </c>
      <c r="C126" s="6" t="s">
        <v>367</v>
      </c>
      <c r="D126" s="6" t="s">
        <v>368</v>
      </c>
      <c r="E126" s="6" t="s">
        <v>20</v>
      </c>
      <c r="F126" s="6" t="s">
        <v>68</v>
      </c>
      <c r="G126" s="8">
        <v>5</v>
      </c>
      <c r="H126" s="6" t="s">
        <v>369</v>
      </c>
      <c r="I126" s="7" t="s">
        <v>370</v>
      </c>
      <c r="J126" s="6" t="s">
        <v>30</v>
      </c>
    </row>
    <row r="127" spans="1:10" s="2" customFormat="1" ht="15" x14ac:dyDescent="0.25">
      <c r="A127" s="3">
        <v>119</v>
      </c>
      <c r="B127" s="4" t="s">
        <v>371</v>
      </c>
      <c r="C127" s="3" t="s">
        <v>330</v>
      </c>
      <c r="D127" s="3" t="s">
        <v>372</v>
      </c>
      <c r="E127" s="3" t="s">
        <v>194</v>
      </c>
      <c r="F127" s="3" t="s">
        <v>75</v>
      </c>
      <c r="G127" s="5">
        <v>2</v>
      </c>
      <c r="H127" s="3" t="s">
        <v>308</v>
      </c>
      <c r="I127" s="4" t="s">
        <v>309</v>
      </c>
      <c r="J127" s="3" t="s">
        <v>34</v>
      </c>
    </row>
    <row r="128" spans="1:10" s="2" customFormat="1" ht="15" x14ac:dyDescent="0.25">
      <c r="A128" s="6">
        <v>120</v>
      </c>
      <c r="B128" s="7" t="s">
        <v>373</v>
      </c>
      <c r="C128" s="6" t="s">
        <v>374</v>
      </c>
      <c r="D128" s="6" t="s">
        <v>375</v>
      </c>
      <c r="E128" s="6" t="s">
        <v>68</v>
      </c>
      <c r="F128" s="6" t="s">
        <v>68</v>
      </c>
      <c r="G128" s="8">
        <v>1</v>
      </c>
      <c r="H128" s="6" t="s">
        <v>92</v>
      </c>
      <c r="I128" s="7" t="s">
        <v>93</v>
      </c>
      <c r="J128" s="6" t="s">
        <v>376</v>
      </c>
    </row>
    <row r="129" spans="1:10" s="2" customFormat="1" ht="15" x14ac:dyDescent="0.25">
      <c r="A129" s="3">
        <v>121</v>
      </c>
      <c r="B129" s="4" t="s">
        <v>373</v>
      </c>
      <c r="C129" s="3" t="s">
        <v>374</v>
      </c>
      <c r="D129" s="3" t="s">
        <v>375</v>
      </c>
      <c r="E129" s="3" t="s">
        <v>111</v>
      </c>
      <c r="F129" s="3" t="s">
        <v>111</v>
      </c>
      <c r="G129" s="5">
        <v>1</v>
      </c>
      <c r="H129" s="3" t="s">
        <v>92</v>
      </c>
      <c r="I129" s="4" t="s">
        <v>93</v>
      </c>
      <c r="J129" s="3" t="s">
        <v>377</v>
      </c>
    </row>
    <row r="130" spans="1:10" s="2" customFormat="1" ht="15" x14ac:dyDescent="0.25">
      <c r="A130" s="6">
        <v>122</v>
      </c>
      <c r="B130" s="7" t="s">
        <v>378</v>
      </c>
      <c r="C130" s="6" t="s">
        <v>379</v>
      </c>
      <c r="D130" s="6" t="s">
        <v>380</v>
      </c>
      <c r="E130" s="6" t="s">
        <v>57</v>
      </c>
      <c r="F130" s="6" t="s">
        <v>64</v>
      </c>
      <c r="G130" s="8">
        <v>3</v>
      </c>
      <c r="H130" s="6" t="s">
        <v>381</v>
      </c>
      <c r="I130" s="7" t="s">
        <v>382</v>
      </c>
      <c r="J130" s="6" t="s">
        <v>383</v>
      </c>
    </row>
    <row r="131" spans="1:10" s="2" customFormat="1" ht="15" x14ac:dyDescent="0.25">
      <c r="A131" s="3">
        <v>123</v>
      </c>
      <c r="B131" s="4" t="s">
        <v>378</v>
      </c>
      <c r="C131" s="3" t="s">
        <v>379</v>
      </c>
      <c r="D131" s="3" t="s">
        <v>380</v>
      </c>
      <c r="E131" s="3" t="s">
        <v>71</v>
      </c>
      <c r="F131" s="3" t="s">
        <v>44</v>
      </c>
      <c r="G131" s="5">
        <v>2</v>
      </c>
      <c r="H131" s="3" t="s">
        <v>381</v>
      </c>
      <c r="I131" s="4" t="s">
        <v>382</v>
      </c>
      <c r="J131" s="3" t="s">
        <v>67</v>
      </c>
    </row>
    <row r="132" spans="1:10" s="2" customFormat="1" ht="15" x14ac:dyDescent="0.25">
      <c r="A132" s="6">
        <v>124</v>
      </c>
      <c r="B132" s="7" t="s">
        <v>384</v>
      </c>
      <c r="C132" s="6" t="s">
        <v>385</v>
      </c>
      <c r="D132" s="6" t="s">
        <v>380</v>
      </c>
      <c r="E132" s="6" t="s">
        <v>56</v>
      </c>
      <c r="F132" s="6" t="s">
        <v>180</v>
      </c>
      <c r="G132" s="8">
        <v>3</v>
      </c>
      <c r="H132" s="6" t="s">
        <v>386</v>
      </c>
      <c r="I132" s="7" t="s">
        <v>387</v>
      </c>
      <c r="J132" s="6" t="s">
        <v>388</v>
      </c>
    </row>
    <row r="133" spans="1:10" s="2" customFormat="1" ht="15" x14ac:dyDescent="0.25">
      <c r="A133" s="3">
        <v>125</v>
      </c>
      <c r="B133" s="4" t="s">
        <v>384</v>
      </c>
      <c r="C133" s="3" t="s">
        <v>385</v>
      </c>
      <c r="D133" s="3" t="s">
        <v>380</v>
      </c>
      <c r="E133" s="3" t="s">
        <v>44</v>
      </c>
      <c r="F133" s="3" t="s">
        <v>45</v>
      </c>
      <c r="G133" s="5">
        <v>3</v>
      </c>
      <c r="H133" s="3" t="s">
        <v>386</v>
      </c>
      <c r="I133" s="4" t="s">
        <v>387</v>
      </c>
      <c r="J133" s="3" t="s">
        <v>383</v>
      </c>
    </row>
    <row r="134" spans="1:10" s="2" customFormat="1" ht="15" x14ac:dyDescent="0.25">
      <c r="A134" s="6">
        <v>126</v>
      </c>
      <c r="B134" s="7" t="s">
        <v>389</v>
      </c>
      <c r="C134" s="6" t="s">
        <v>390</v>
      </c>
      <c r="D134" s="6" t="s">
        <v>380</v>
      </c>
      <c r="E134" s="6" t="s">
        <v>194</v>
      </c>
      <c r="F134" s="6" t="s">
        <v>75</v>
      </c>
      <c r="G134" s="8">
        <v>2</v>
      </c>
      <c r="H134" s="6" t="s">
        <v>381</v>
      </c>
      <c r="I134" s="7" t="s">
        <v>382</v>
      </c>
      <c r="J134" s="6" t="s">
        <v>391</v>
      </c>
    </row>
    <row r="135" spans="1:10" s="2" customFormat="1" ht="15" x14ac:dyDescent="0.25">
      <c r="A135" s="3">
        <v>127</v>
      </c>
      <c r="B135" s="4" t="s">
        <v>392</v>
      </c>
      <c r="C135" s="3" t="s">
        <v>393</v>
      </c>
      <c r="D135" s="3" t="s">
        <v>394</v>
      </c>
      <c r="E135" s="3" t="s">
        <v>33</v>
      </c>
      <c r="F135" s="3" t="s">
        <v>45</v>
      </c>
      <c r="G135" s="5">
        <v>2</v>
      </c>
      <c r="H135" s="3" t="s">
        <v>395</v>
      </c>
      <c r="I135" s="4" t="s">
        <v>396</v>
      </c>
      <c r="J135" s="3" t="s">
        <v>397</v>
      </c>
    </row>
    <row r="136" spans="1:10" s="2" customFormat="1" ht="15" x14ac:dyDescent="0.25">
      <c r="A136" s="6">
        <v>128</v>
      </c>
      <c r="B136" s="7" t="s">
        <v>392</v>
      </c>
      <c r="C136" s="6" t="s">
        <v>393</v>
      </c>
      <c r="D136" s="6" t="s">
        <v>394</v>
      </c>
      <c r="E136" s="6" t="s">
        <v>111</v>
      </c>
      <c r="F136" s="6" t="s">
        <v>111</v>
      </c>
      <c r="G136" s="8">
        <v>1</v>
      </c>
      <c r="H136" s="6" t="s">
        <v>395</v>
      </c>
      <c r="I136" s="7" t="s">
        <v>396</v>
      </c>
      <c r="J136" s="6" t="s">
        <v>30</v>
      </c>
    </row>
    <row r="137" spans="1:10" s="2" customFormat="1" ht="15" x14ac:dyDescent="0.25">
      <c r="A137" s="3">
        <v>129</v>
      </c>
      <c r="B137" s="4" t="s">
        <v>398</v>
      </c>
      <c r="C137" s="3" t="s">
        <v>399</v>
      </c>
      <c r="D137" s="3" t="s">
        <v>394</v>
      </c>
      <c r="E137" s="3" t="s">
        <v>105</v>
      </c>
      <c r="F137" s="3" t="s">
        <v>105</v>
      </c>
      <c r="G137" s="5">
        <v>1</v>
      </c>
      <c r="H137" s="3" t="s">
        <v>400</v>
      </c>
      <c r="I137" s="4" t="s">
        <v>401</v>
      </c>
      <c r="J137" s="3" t="s">
        <v>114</v>
      </c>
    </row>
    <row r="138" spans="1:10" s="2" customFormat="1" ht="15" x14ac:dyDescent="0.25">
      <c r="A138" s="6">
        <v>130</v>
      </c>
      <c r="B138" s="7" t="s">
        <v>402</v>
      </c>
      <c r="C138" s="6" t="s">
        <v>403</v>
      </c>
      <c r="D138" s="6" t="s">
        <v>404</v>
      </c>
      <c r="E138" s="6" t="s">
        <v>33</v>
      </c>
      <c r="F138" s="6" t="s">
        <v>33</v>
      </c>
      <c r="G138" s="8">
        <v>1</v>
      </c>
      <c r="H138" s="6" t="s">
        <v>405</v>
      </c>
      <c r="I138" s="7" t="s">
        <v>406</v>
      </c>
      <c r="J138" s="6" t="s">
        <v>114</v>
      </c>
    </row>
    <row r="139" spans="1:10" s="2" customFormat="1" ht="15" x14ac:dyDescent="0.25">
      <c r="A139" s="3">
        <v>131</v>
      </c>
      <c r="B139" s="4" t="s">
        <v>402</v>
      </c>
      <c r="C139" s="3" t="s">
        <v>403</v>
      </c>
      <c r="D139" s="3" t="s">
        <v>404</v>
      </c>
      <c r="E139" s="3" t="s">
        <v>111</v>
      </c>
      <c r="F139" s="3" t="s">
        <v>111</v>
      </c>
      <c r="G139" s="5">
        <v>1</v>
      </c>
      <c r="H139" s="3" t="s">
        <v>405</v>
      </c>
      <c r="I139" s="4" t="s">
        <v>406</v>
      </c>
      <c r="J139" s="3" t="s">
        <v>114</v>
      </c>
    </row>
    <row r="140" spans="1:10" s="2" customFormat="1" ht="15" x14ac:dyDescent="0.25">
      <c r="A140" s="6">
        <v>132</v>
      </c>
      <c r="B140" s="7" t="s">
        <v>407</v>
      </c>
      <c r="C140" s="6" t="s">
        <v>408</v>
      </c>
      <c r="D140" s="6" t="s">
        <v>409</v>
      </c>
      <c r="E140" s="6" t="s">
        <v>217</v>
      </c>
      <c r="F140" s="6" t="s">
        <v>217</v>
      </c>
      <c r="G140" s="8">
        <v>1</v>
      </c>
      <c r="H140" s="6" t="s">
        <v>22</v>
      </c>
      <c r="I140" s="7" t="s">
        <v>23</v>
      </c>
      <c r="J140" s="6" t="s">
        <v>67</v>
      </c>
    </row>
    <row r="141" spans="1:10" s="2" customFormat="1" ht="15" x14ac:dyDescent="0.25">
      <c r="A141" s="3">
        <v>133</v>
      </c>
      <c r="B141" s="4" t="s">
        <v>410</v>
      </c>
      <c r="C141" s="3" t="s">
        <v>411</v>
      </c>
      <c r="D141" s="3" t="s">
        <v>412</v>
      </c>
      <c r="E141" s="3" t="s">
        <v>21</v>
      </c>
      <c r="F141" s="3" t="s">
        <v>21</v>
      </c>
      <c r="G141" s="5">
        <v>1</v>
      </c>
      <c r="H141" s="3" t="s">
        <v>188</v>
      </c>
      <c r="I141" s="4" t="s">
        <v>189</v>
      </c>
      <c r="J141" s="3" t="s">
        <v>114</v>
      </c>
    </row>
    <row r="142" spans="1:10" s="2" customFormat="1" ht="15" x14ac:dyDescent="0.25">
      <c r="A142" s="6">
        <v>134</v>
      </c>
      <c r="B142" s="7" t="s">
        <v>410</v>
      </c>
      <c r="C142" s="6" t="s">
        <v>411</v>
      </c>
      <c r="D142" s="6" t="s">
        <v>412</v>
      </c>
      <c r="E142" s="6" t="s">
        <v>44</v>
      </c>
      <c r="F142" s="6" t="s">
        <v>33</v>
      </c>
      <c r="G142" s="8">
        <v>2</v>
      </c>
      <c r="H142" s="6" t="s">
        <v>82</v>
      </c>
      <c r="I142" s="7" t="s">
        <v>83</v>
      </c>
      <c r="J142" s="6" t="s">
        <v>114</v>
      </c>
    </row>
    <row r="143" spans="1:10" s="2" customFormat="1" ht="15" x14ac:dyDescent="0.25">
      <c r="A143" s="3">
        <v>135</v>
      </c>
      <c r="B143" s="4" t="s">
        <v>410</v>
      </c>
      <c r="C143" s="3" t="s">
        <v>411</v>
      </c>
      <c r="D143" s="3" t="s">
        <v>412</v>
      </c>
      <c r="E143" s="3" t="s">
        <v>49</v>
      </c>
      <c r="F143" s="3" t="s">
        <v>50</v>
      </c>
      <c r="G143" s="5">
        <v>2</v>
      </c>
      <c r="H143" s="3" t="s">
        <v>82</v>
      </c>
      <c r="I143" s="4" t="s">
        <v>83</v>
      </c>
      <c r="J143" s="3" t="s">
        <v>114</v>
      </c>
    </row>
    <row r="144" spans="1:10" ht="15" x14ac:dyDescent="0.25">
      <c r="A144" s="46" t="s">
        <v>413</v>
      </c>
      <c r="B144" s="46"/>
      <c r="C144" s="46"/>
      <c r="D144" s="46"/>
      <c r="E144" s="46"/>
      <c r="F144" s="46"/>
      <c r="G144" s="9">
        <v>280</v>
      </c>
      <c r="H144" s="10"/>
      <c r="I144" s="10"/>
      <c r="J144" s="10"/>
    </row>
  </sheetData>
  <mergeCells count="8">
    <mergeCell ref="A6:J6"/>
    <mergeCell ref="A7:J7"/>
    <mergeCell ref="A144:F144"/>
    <mergeCell ref="A1:J1"/>
    <mergeCell ref="A2:J2"/>
    <mergeCell ref="A3:J3"/>
    <mergeCell ref="A4:J4"/>
    <mergeCell ref="A5:J5"/>
  </mergeCells>
  <printOptions horizontalCentered="1"/>
  <pageMargins left="0.4" right="0.4" top="0.45" bottom="0.45" header="0.2" footer="0.2"/>
  <pageSetup paperSize="9" fitToHeight="0" orientation="landscape"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20"/>
  <sheetViews>
    <sheetView workbookViewId="0">
      <pane ySplit="8" topLeftCell="A9" activePane="bottomLeft" state="frozen"/>
      <selection pane="bottomLeft" sqref="A1:J1"/>
    </sheetView>
  </sheetViews>
  <sheetFormatPr defaultRowHeight="18" customHeight="1" x14ac:dyDescent="0.25"/>
  <cols>
    <col min="1" max="1" width="6" customWidth="1"/>
    <col min="2" max="2" width="11" customWidth="1"/>
    <col min="3" max="3" width="22" customWidth="1"/>
    <col min="4" max="4" width="26" customWidth="1"/>
    <col min="5" max="6" width="13" customWidth="1"/>
    <col min="7" max="7" width="12" customWidth="1"/>
    <col min="8" max="8" width="22" customWidth="1"/>
    <col min="9" max="9" width="15" customWidth="1"/>
    <col min="10" max="10" width="36" customWidth="1"/>
  </cols>
  <sheetData>
    <row r="1" spans="1:10" ht="26.1" customHeight="1" x14ac:dyDescent="0.25">
      <c r="A1" s="47" t="s">
        <v>0</v>
      </c>
      <c r="B1" s="47"/>
      <c r="C1" s="47"/>
      <c r="D1" s="47"/>
      <c r="E1" s="47"/>
      <c r="F1" s="47"/>
      <c r="G1" s="47"/>
      <c r="H1" s="47"/>
      <c r="I1" s="47"/>
      <c r="J1" s="47"/>
    </row>
    <row r="2" spans="1:10" ht="20.100000000000001" customHeight="1" x14ac:dyDescent="0.25">
      <c r="A2" s="48" t="s">
        <v>1</v>
      </c>
      <c r="B2" s="48"/>
      <c r="C2" s="48"/>
      <c r="D2" s="48"/>
      <c r="E2" s="48"/>
      <c r="F2" s="48"/>
      <c r="G2" s="48"/>
      <c r="H2" s="48"/>
      <c r="I2" s="48"/>
      <c r="J2" s="48"/>
    </row>
    <row r="3" spans="1:10" ht="20.100000000000001" customHeight="1" x14ac:dyDescent="0.25">
      <c r="A3" s="49" t="s">
        <v>414</v>
      </c>
      <c r="B3" s="49"/>
      <c r="C3" s="49"/>
      <c r="D3" s="49"/>
      <c r="E3" s="49"/>
      <c r="F3" s="49"/>
      <c r="G3" s="49"/>
      <c r="H3" s="49"/>
      <c r="I3" s="49"/>
      <c r="J3" s="49"/>
    </row>
    <row r="4" spans="1:10" ht="18" customHeight="1" x14ac:dyDescent="0.25">
      <c r="A4" s="44" t="s">
        <v>3</v>
      </c>
      <c r="B4" s="44"/>
      <c r="C4" s="44"/>
      <c r="D4" s="44"/>
      <c r="E4" s="44"/>
      <c r="F4" s="44"/>
      <c r="G4" s="44"/>
      <c r="H4" s="44"/>
      <c r="I4" s="44"/>
      <c r="J4" s="44"/>
    </row>
    <row r="5" spans="1:10" ht="33.950000000000003" customHeight="1" x14ac:dyDescent="0.25">
      <c r="A5" s="44" t="s">
        <v>4</v>
      </c>
      <c r="B5" s="44"/>
      <c r="C5" s="44"/>
      <c r="D5" s="44"/>
      <c r="E5" s="44"/>
      <c r="F5" s="44"/>
      <c r="G5" s="44"/>
      <c r="H5" s="44"/>
      <c r="I5" s="44"/>
      <c r="J5" s="44"/>
    </row>
    <row r="6" spans="1:10" ht="18" customHeight="1" x14ac:dyDescent="0.25">
      <c r="A6" s="44" t="s">
        <v>5</v>
      </c>
      <c r="B6" s="44"/>
      <c r="C6" s="44"/>
      <c r="D6" s="44"/>
      <c r="E6" s="44"/>
      <c r="F6" s="44"/>
      <c r="G6" s="44"/>
      <c r="H6" s="44"/>
      <c r="I6" s="44"/>
      <c r="J6" s="44"/>
    </row>
    <row r="7" spans="1:10" ht="21.95" customHeight="1" x14ac:dyDescent="0.25">
      <c r="A7" s="50" t="s">
        <v>415</v>
      </c>
      <c r="B7" s="50"/>
      <c r="C7" s="50"/>
      <c r="D7" s="50"/>
      <c r="E7" s="50"/>
      <c r="F7" s="50"/>
      <c r="G7" s="50"/>
      <c r="H7" s="50"/>
      <c r="I7" s="50"/>
      <c r="J7" s="50"/>
    </row>
    <row r="8" spans="1:10" ht="21.95" customHeight="1" x14ac:dyDescent="0.25">
      <c r="A8" s="1" t="s">
        <v>7</v>
      </c>
      <c r="B8" s="1" t="s">
        <v>8</v>
      </c>
      <c r="C8" s="1" t="s">
        <v>9</v>
      </c>
      <c r="D8" s="1" t="s">
        <v>10</v>
      </c>
      <c r="E8" s="1" t="s">
        <v>11</v>
      </c>
      <c r="F8" s="1" t="s">
        <v>12</v>
      </c>
      <c r="G8" s="1" t="s">
        <v>13</v>
      </c>
      <c r="H8" s="1" t="s">
        <v>14</v>
      </c>
      <c r="I8" s="1" t="s">
        <v>15</v>
      </c>
      <c r="J8" s="1" t="s">
        <v>16</v>
      </c>
    </row>
    <row r="9" spans="1:10" s="2" customFormat="1" ht="15" x14ac:dyDescent="0.25">
      <c r="A9" s="3">
        <v>1</v>
      </c>
      <c r="B9" s="4" t="s">
        <v>416</v>
      </c>
      <c r="C9" s="3" t="s">
        <v>417</v>
      </c>
      <c r="D9" s="3" t="s">
        <v>418</v>
      </c>
      <c r="E9" s="3" t="s">
        <v>57</v>
      </c>
      <c r="F9" s="3" t="s">
        <v>57</v>
      </c>
      <c r="G9" s="5">
        <v>1</v>
      </c>
      <c r="H9" s="3" t="s">
        <v>419</v>
      </c>
      <c r="I9" s="4" t="s">
        <v>420</v>
      </c>
      <c r="J9" s="3" t="s">
        <v>88</v>
      </c>
    </row>
    <row r="10" spans="1:10" s="2" customFormat="1" ht="15" x14ac:dyDescent="0.25">
      <c r="A10" s="6">
        <v>2</v>
      </c>
      <c r="B10" s="7" t="s">
        <v>421</v>
      </c>
      <c r="C10" s="6" t="s">
        <v>422</v>
      </c>
      <c r="D10" s="6" t="s">
        <v>423</v>
      </c>
      <c r="E10" s="6" t="s">
        <v>37</v>
      </c>
      <c r="F10" s="6" t="s">
        <v>38</v>
      </c>
      <c r="G10" s="8">
        <v>4</v>
      </c>
      <c r="H10" s="6" t="s">
        <v>424</v>
      </c>
      <c r="I10" s="7" t="s">
        <v>425</v>
      </c>
      <c r="J10" s="6" t="s">
        <v>34</v>
      </c>
    </row>
    <row r="11" spans="1:10" s="2" customFormat="1" ht="15" x14ac:dyDescent="0.25">
      <c r="A11" s="3">
        <v>3</v>
      </c>
      <c r="B11" s="4" t="s">
        <v>426</v>
      </c>
      <c r="C11" s="3" t="s">
        <v>427</v>
      </c>
      <c r="D11" s="3" t="s">
        <v>428</v>
      </c>
      <c r="E11" s="3" t="s">
        <v>38</v>
      </c>
      <c r="F11" s="3" t="s">
        <v>38</v>
      </c>
      <c r="G11" s="5">
        <v>1</v>
      </c>
      <c r="H11" s="3" t="s">
        <v>429</v>
      </c>
      <c r="I11" s="4" t="s">
        <v>430</v>
      </c>
      <c r="J11" s="3" t="s">
        <v>431</v>
      </c>
    </row>
    <row r="12" spans="1:10" s="2" customFormat="1" ht="15" x14ac:dyDescent="0.25">
      <c r="A12" s="6">
        <v>4</v>
      </c>
      <c r="B12" s="7" t="s">
        <v>432</v>
      </c>
      <c r="C12" s="6" t="s">
        <v>433</v>
      </c>
      <c r="D12" s="6" t="s">
        <v>428</v>
      </c>
      <c r="E12" s="6" t="s">
        <v>33</v>
      </c>
      <c r="F12" s="6" t="s">
        <v>33</v>
      </c>
      <c r="G12" s="8">
        <v>1</v>
      </c>
      <c r="H12" s="6" t="s">
        <v>434</v>
      </c>
      <c r="I12" s="7" t="s">
        <v>435</v>
      </c>
      <c r="J12" s="6" t="s">
        <v>436</v>
      </c>
    </row>
    <row r="13" spans="1:10" s="2" customFormat="1" ht="15" x14ac:dyDescent="0.25">
      <c r="A13" s="3">
        <v>5</v>
      </c>
      <c r="B13" s="4" t="s">
        <v>437</v>
      </c>
      <c r="C13" s="3" t="s">
        <v>438</v>
      </c>
      <c r="D13" s="3" t="s">
        <v>439</v>
      </c>
      <c r="E13" s="3" t="s">
        <v>20</v>
      </c>
      <c r="F13" s="3" t="s">
        <v>99</v>
      </c>
      <c r="G13" s="5">
        <v>3</v>
      </c>
      <c r="H13" s="3" t="s">
        <v>440</v>
      </c>
      <c r="I13" s="4" t="s">
        <v>441</v>
      </c>
      <c r="J13" s="3" t="s">
        <v>128</v>
      </c>
    </row>
    <row r="14" spans="1:10" s="2" customFormat="1" ht="15" x14ac:dyDescent="0.25">
      <c r="A14" s="6">
        <v>6</v>
      </c>
      <c r="B14" s="7" t="s">
        <v>437</v>
      </c>
      <c r="C14" s="6" t="s">
        <v>438</v>
      </c>
      <c r="D14" s="6" t="s">
        <v>439</v>
      </c>
      <c r="E14" s="6" t="s">
        <v>68</v>
      </c>
      <c r="F14" s="6" t="s">
        <v>21</v>
      </c>
      <c r="G14" s="8">
        <v>2</v>
      </c>
      <c r="H14" s="6" t="s">
        <v>440</v>
      </c>
      <c r="I14" s="7" t="s">
        <v>441</v>
      </c>
      <c r="J14" s="6" t="s">
        <v>397</v>
      </c>
    </row>
    <row r="15" spans="1:10" s="2" customFormat="1" ht="15" x14ac:dyDescent="0.25">
      <c r="A15" s="3">
        <v>7</v>
      </c>
      <c r="B15" s="4" t="s">
        <v>437</v>
      </c>
      <c r="C15" s="3" t="s">
        <v>438</v>
      </c>
      <c r="D15" s="3" t="s">
        <v>439</v>
      </c>
      <c r="E15" s="3" t="s">
        <v>44</v>
      </c>
      <c r="F15" s="3" t="s">
        <v>45</v>
      </c>
      <c r="G15" s="5">
        <v>3</v>
      </c>
      <c r="H15" s="3" t="s">
        <v>440</v>
      </c>
      <c r="I15" s="4" t="s">
        <v>441</v>
      </c>
      <c r="J15" s="3" t="s">
        <v>128</v>
      </c>
    </row>
    <row r="16" spans="1:10" s="2" customFormat="1" ht="15" x14ac:dyDescent="0.25">
      <c r="A16" s="6">
        <v>8</v>
      </c>
      <c r="B16" s="7" t="s">
        <v>442</v>
      </c>
      <c r="C16" s="6" t="s">
        <v>443</v>
      </c>
      <c r="D16" s="6" t="s">
        <v>439</v>
      </c>
      <c r="E16" s="6" t="s">
        <v>214</v>
      </c>
      <c r="F16" s="6" t="s">
        <v>214</v>
      </c>
      <c r="G16" s="8">
        <v>1</v>
      </c>
      <c r="H16" s="6" t="s">
        <v>419</v>
      </c>
      <c r="I16" s="7" t="s">
        <v>420</v>
      </c>
      <c r="J16" s="6" t="s">
        <v>30</v>
      </c>
    </row>
    <row r="17" spans="1:10" s="2" customFormat="1" ht="15" x14ac:dyDescent="0.25">
      <c r="A17" s="3">
        <v>9</v>
      </c>
      <c r="B17" s="4" t="s">
        <v>444</v>
      </c>
      <c r="C17" s="3" t="s">
        <v>445</v>
      </c>
      <c r="D17" s="3" t="s">
        <v>446</v>
      </c>
      <c r="E17" s="3" t="s">
        <v>81</v>
      </c>
      <c r="F17" s="3" t="s">
        <v>21</v>
      </c>
      <c r="G17" s="5">
        <v>3</v>
      </c>
      <c r="H17" s="3" t="s">
        <v>447</v>
      </c>
      <c r="I17" s="4" t="s">
        <v>448</v>
      </c>
      <c r="J17" s="3" t="s">
        <v>34</v>
      </c>
    </row>
    <row r="18" spans="1:10" s="2" customFormat="1" ht="15" x14ac:dyDescent="0.25">
      <c r="A18" s="6">
        <v>10</v>
      </c>
      <c r="B18" s="7" t="s">
        <v>444</v>
      </c>
      <c r="C18" s="6" t="s">
        <v>445</v>
      </c>
      <c r="D18" s="6" t="s">
        <v>446</v>
      </c>
      <c r="E18" s="6" t="s">
        <v>49</v>
      </c>
      <c r="F18" s="6" t="s">
        <v>50</v>
      </c>
      <c r="G18" s="8">
        <v>2</v>
      </c>
      <c r="H18" s="6" t="s">
        <v>447</v>
      </c>
      <c r="I18" s="7" t="s">
        <v>448</v>
      </c>
      <c r="J18" s="6" t="s">
        <v>34</v>
      </c>
    </row>
    <row r="19" spans="1:10" s="2" customFormat="1" ht="15" x14ac:dyDescent="0.25">
      <c r="A19" s="3">
        <v>11</v>
      </c>
      <c r="B19" s="4" t="s">
        <v>449</v>
      </c>
      <c r="C19" s="3" t="s">
        <v>450</v>
      </c>
      <c r="D19" s="3" t="s">
        <v>451</v>
      </c>
      <c r="E19" s="3" t="s">
        <v>45</v>
      </c>
      <c r="F19" s="3" t="s">
        <v>45</v>
      </c>
      <c r="G19" s="5">
        <v>1</v>
      </c>
      <c r="H19" s="3" t="s">
        <v>429</v>
      </c>
      <c r="I19" s="4" t="s">
        <v>430</v>
      </c>
      <c r="J19" s="3" t="s">
        <v>452</v>
      </c>
    </row>
    <row r="20" spans="1:10" ht="15" x14ac:dyDescent="0.25">
      <c r="A20" s="46" t="s">
        <v>453</v>
      </c>
      <c r="B20" s="46"/>
      <c r="C20" s="46"/>
      <c r="D20" s="46"/>
      <c r="E20" s="46"/>
      <c r="F20" s="46"/>
      <c r="G20" s="9">
        <v>22</v>
      </c>
      <c r="H20" s="10"/>
      <c r="I20" s="10"/>
      <c r="J20" s="10"/>
    </row>
  </sheetData>
  <mergeCells count="8">
    <mergeCell ref="A6:J6"/>
    <mergeCell ref="A7:J7"/>
    <mergeCell ref="A20:F20"/>
    <mergeCell ref="A1:J1"/>
    <mergeCell ref="A2:J2"/>
    <mergeCell ref="A3:J3"/>
    <mergeCell ref="A4:J4"/>
    <mergeCell ref="A5:J5"/>
  </mergeCells>
  <printOptions horizontalCentered="1"/>
  <pageMargins left="0.4" right="0.4" top="0.45" bottom="0.45" header="0.2" footer="0.2"/>
  <pageSetup paperSize="9" fitToHeight="0" orientation="landscape"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82"/>
  <sheetViews>
    <sheetView workbookViewId="0">
      <pane ySplit="8" topLeftCell="A9" activePane="bottomLeft" state="frozen"/>
      <selection pane="bottomLeft" activeCell="G20" sqref="G20"/>
    </sheetView>
  </sheetViews>
  <sheetFormatPr defaultRowHeight="18" customHeight="1" x14ac:dyDescent="0.25"/>
  <cols>
    <col min="1" max="1" width="6" customWidth="1"/>
    <col min="2" max="2" width="11" customWidth="1"/>
    <col min="3" max="3" width="25" customWidth="1"/>
    <col min="4" max="4" width="28" customWidth="1"/>
    <col min="5" max="6" width="13" customWidth="1"/>
    <col min="7" max="7" width="12" customWidth="1"/>
    <col min="8" max="8" width="22" customWidth="1"/>
    <col min="9" max="9" width="15" customWidth="1"/>
    <col min="10" max="10" width="60" customWidth="1"/>
  </cols>
  <sheetData>
    <row r="1" spans="1:10" ht="26.1" customHeight="1" x14ac:dyDescent="0.25">
      <c r="A1" s="47" t="s">
        <v>0</v>
      </c>
      <c r="B1" s="47"/>
      <c r="C1" s="47"/>
      <c r="D1" s="47"/>
      <c r="E1" s="47"/>
      <c r="F1" s="47"/>
      <c r="G1" s="47"/>
      <c r="H1" s="47"/>
      <c r="I1" s="47"/>
      <c r="J1" s="47"/>
    </row>
    <row r="2" spans="1:10" ht="20.100000000000001" customHeight="1" x14ac:dyDescent="0.25">
      <c r="A2" s="48" t="s">
        <v>1</v>
      </c>
      <c r="B2" s="48"/>
      <c r="C2" s="48"/>
      <c r="D2" s="48"/>
      <c r="E2" s="48"/>
      <c r="F2" s="48"/>
      <c r="G2" s="48"/>
      <c r="H2" s="48"/>
      <c r="I2" s="48"/>
      <c r="J2" s="48"/>
    </row>
    <row r="3" spans="1:10" ht="20.100000000000001" customHeight="1" x14ac:dyDescent="0.25">
      <c r="A3" s="49" t="s">
        <v>2</v>
      </c>
      <c r="B3" s="49"/>
      <c r="C3" s="49"/>
      <c r="D3" s="49"/>
      <c r="E3" s="49"/>
      <c r="F3" s="49"/>
      <c r="G3" s="49"/>
      <c r="H3" s="49"/>
      <c r="I3" s="49"/>
      <c r="J3" s="49"/>
    </row>
    <row r="4" spans="1:10" ht="18" customHeight="1" x14ac:dyDescent="0.25">
      <c r="A4" s="44" t="s">
        <v>3</v>
      </c>
      <c r="B4" s="44"/>
      <c r="C4" s="44"/>
      <c r="D4" s="44"/>
      <c r="E4" s="44"/>
      <c r="F4" s="44"/>
      <c r="G4" s="44"/>
      <c r="H4" s="44"/>
      <c r="I4" s="44"/>
      <c r="J4" s="44"/>
    </row>
    <row r="5" spans="1:10" ht="33.950000000000003" customHeight="1" x14ac:dyDescent="0.25">
      <c r="A5" s="44" t="s">
        <v>4</v>
      </c>
      <c r="B5" s="44"/>
      <c r="C5" s="44"/>
      <c r="D5" s="44"/>
      <c r="E5" s="44"/>
      <c r="F5" s="44"/>
      <c r="G5" s="44"/>
      <c r="H5" s="44"/>
      <c r="I5" s="44"/>
      <c r="J5" s="44"/>
    </row>
    <row r="6" spans="1:10" ht="18" customHeight="1" x14ac:dyDescent="0.25">
      <c r="A6" s="44" t="s">
        <v>5</v>
      </c>
      <c r="B6" s="44"/>
      <c r="C6" s="44"/>
      <c r="D6" s="44"/>
      <c r="E6" s="44"/>
      <c r="F6" s="44"/>
      <c r="G6" s="44"/>
      <c r="H6" s="44"/>
      <c r="I6" s="44"/>
      <c r="J6" s="44"/>
    </row>
    <row r="7" spans="1:10" ht="21.95" customHeight="1" x14ac:dyDescent="0.25">
      <c r="A7" s="45" t="s">
        <v>454</v>
      </c>
      <c r="B7" s="45"/>
      <c r="C7" s="45"/>
      <c r="D7" s="45"/>
      <c r="E7" s="45"/>
      <c r="F7" s="45"/>
      <c r="G7" s="45"/>
      <c r="H7" s="45"/>
      <c r="I7" s="45"/>
      <c r="J7" s="45"/>
    </row>
    <row r="8" spans="1:10" ht="30" x14ac:dyDescent="0.25">
      <c r="A8" s="1" t="s">
        <v>7</v>
      </c>
      <c r="B8" s="1" t="s">
        <v>8</v>
      </c>
      <c r="C8" s="1" t="s">
        <v>9</v>
      </c>
      <c r="D8" s="1" t="s">
        <v>10</v>
      </c>
      <c r="E8" s="1" t="s">
        <v>11</v>
      </c>
      <c r="F8" s="1" t="s">
        <v>12</v>
      </c>
      <c r="G8" s="1" t="s">
        <v>673</v>
      </c>
      <c r="H8" s="1" t="s">
        <v>14</v>
      </c>
      <c r="I8" s="1" t="s">
        <v>15</v>
      </c>
      <c r="J8" s="1" t="s">
        <v>16</v>
      </c>
    </row>
    <row r="9" spans="1:10" s="2" customFormat="1" ht="15" x14ac:dyDescent="0.25">
      <c r="A9" s="3">
        <v>1</v>
      </c>
      <c r="B9" s="4" t="s">
        <v>455</v>
      </c>
      <c r="C9" s="3" t="s">
        <v>456</v>
      </c>
      <c r="D9" s="3" t="s">
        <v>19</v>
      </c>
      <c r="E9" s="3" t="s">
        <v>457</v>
      </c>
      <c r="F9" s="3" t="s">
        <v>457</v>
      </c>
      <c r="G9" s="5">
        <v>1</v>
      </c>
      <c r="H9" s="3" t="s">
        <v>458</v>
      </c>
      <c r="I9" s="4" t="s">
        <v>459</v>
      </c>
      <c r="J9" s="3" t="s">
        <v>460</v>
      </c>
    </row>
    <row r="10" spans="1:10" s="2" customFormat="1" ht="15" x14ac:dyDescent="0.25">
      <c r="A10" s="6">
        <v>2</v>
      </c>
      <c r="B10" s="7" t="s">
        <v>17</v>
      </c>
      <c r="C10" s="6" t="s">
        <v>18</v>
      </c>
      <c r="D10" s="6" t="s">
        <v>19</v>
      </c>
      <c r="E10" s="6" t="s">
        <v>214</v>
      </c>
      <c r="F10" s="6" t="s">
        <v>214</v>
      </c>
      <c r="G10" s="8">
        <v>1</v>
      </c>
      <c r="H10" s="6" t="s">
        <v>22</v>
      </c>
      <c r="I10" s="7" t="s">
        <v>23</v>
      </c>
      <c r="J10" s="6" t="s">
        <v>461</v>
      </c>
    </row>
    <row r="11" spans="1:10" s="2" customFormat="1" ht="15" x14ac:dyDescent="0.25">
      <c r="A11" s="3">
        <v>3</v>
      </c>
      <c r="B11" s="4" t="s">
        <v>462</v>
      </c>
      <c r="C11" s="3" t="s">
        <v>463</v>
      </c>
      <c r="D11" s="3" t="s">
        <v>464</v>
      </c>
      <c r="E11" s="3" t="s">
        <v>214</v>
      </c>
      <c r="F11" s="3" t="s">
        <v>214</v>
      </c>
      <c r="G11" s="5">
        <v>1</v>
      </c>
      <c r="H11" s="3" t="s">
        <v>148</v>
      </c>
      <c r="I11" s="4" t="s">
        <v>149</v>
      </c>
      <c r="J11" s="3" t="s">
        <v>465</v>
      </c>
    </row>
    <row r="12" spans="1:10" s="2" customFormat="1" ht="15" x14ac:dyDescent="0.25">
      <c r="A12" s="6">
        <v>4</v>
      </c>
      <c r="B12" s="7" t="s">
        <v>25</v>
      </c>
      <c r="C12" s="6" t="s">
        <v>26</v>
      </c>
      <c r="D12" s="6" t="s">
        <v>27</v>
      </c>
      <c r="E12" s="6" t="s">
        <v>457</v>
      </c>
      <c r="F12" s="6" t="s">
        <v>457</v>
      </c>
      <c r="G12" s="8">
        <v>1</v>
      </c>
      <c r="H12" s="6" t="s">
        <v>22</v>
      </c>
      <c r="I12" s="7" t="s">
        <v>23</v>
      </c>
      <c r="J12" s="6" t="s">
        <v>466</v>
      </c>
    </row>
    <row r="13" spans="1:10" s="2" customFormat="1" ht="15" x14ac:dyDescent="0.25">
      <c r="A13" s="3">
        <v>5</v>
      </c>
      <c r="B13" s="4" t="s">
        <v>31</v>
      </c>
      <c r="C13" s="3" t="s">
        <v>32</v>
      </c>
      <c r="D13" s="3" t="s">
        <v>27</v>
      </c>
      <c r="E13" s="3" t="s">
        <v>81</v>
      </c>
      <c r="F13" s="3" t="s">
        <v>81</v>
      </c>
      <c r="G13" s="5">
        <v>1</v>
      </c>
      <c r="H13" s="3" t="s">
        <v>28</v>
      </c>
      <c r="I13" s="4" t="s">
        <v>29</v>
      </c>
      <c r="J13" s="3" t="s">
        <v>465</v>
      </c>
    </row>
    <row r="14" spans="1:10" s="2" customFormat="1" ht="15" x14ac:dyDescent="0.25">
      <c r="A14" s="6">
        <v>6</v>
      </c>
      <c r="B14" s="7" t="s">
        <v>467</v>
      </c>
      <c r="C14" s="6" t="s">
        <v>468</v>
      </c>
      <c r="D14" s="6" t="s">
        <v>43</v>
      </c>
      <c r="E14" s="6" t="s">
        <v>214</v>
      </c>
      <c r="F14" s="6" t="s">
        <v>214</v>
      </c>
      <c r="G14" s="8">
        <v>1</v>
      </c>
      <c r="H14" s="6" t="s">
        <v>86</v>
      </c>
      <c r="I14" s="7" t="s">
        <v>87</v>
      </c>
      <c r="J14" s="6" t="s">
        <v>469</v>
      </c>
    </row>
    <row r="15" spans="1:10" s="2" customFormat="1" ht="15" x14ac:dyDescent="0.25">
      <c r="A15" s="3">
        <v>7</v>
      </c>
      <c r="B15" s="4" t="s">
        <v>53</v>
      </c>
      <c r="C15" s="3" t="s">
        <v>54</v>
      </c>
      <c r="D15" s="3" t="s">
        <v>55</v>
      </c>
      <c r="E15" s="3" t="s">
        <v>457</v>
      </c>
      <c r="F15" s="3" t="s">
        <v>457</v>
      </c>
      <c r="G15" s="5">
        <v>1</v>
      </c>
      <c r="H15" s="3" t="s">
        <v>58</v>
      </c>
      <c r="I15" s="4" t="s">
        <v>59</v>
      </c>
      <c r="J15" s="3" t="s">
        <v>465</v>
      </c>
    </row>
    <row r="16" spans="1:10" s="2" customFormat="1" ht="15" x14ac:dyDescent="0.25">
      <c r="A16" s="6">
        <v>8</v>
      </c>
      <c r="B16" s="7" t="s">
        <v>470</v>
      </c>
      <c r="C16" s="6" t="s">
        <v>471</v>
      </c>
      <c r="D16" s="6" t="s">
        <v>55</v>
      </c>
      <c r="E16" s="6" t="s">
        <v>81</v>
      </c>
      <c r="F16" s="6" t="s">
        <v>81</v>
      </c>
      <c r="G16" s="8">
        <v>1</v>
      </c>
      <c r="H16" s="6" t="s">
        <v>46</v>
      </c>
      <c r="I16" s="7" t="s">
        <v>47</v>
      </c>
      <c r="J16" s="6" t="s">
        <v>472</v>
      </c>
    </row>
    <row r="17" spans="1:10" s="2" customFormat="1" ht="15" x14ac:dyDescent="0.25">
      <c r="A17" s="3">
        <v>9</v>
      </c>
      <c r="B17" s="4" t="s">
        <v>61</v>
      </c>
      <c r="C17" s="3" t="s">
        <v>62</v>
      </c>
      <c r="D17" s="3" t="s">
        <v>63</v>
      </c>
      <c r="E17" s="3" t="s">
        <v>457</v>
      </c>
      <c r="F17" s="3" t="s">
        <v>457</v>
      </c>
      <c r="G17" s="5">
        <v>1</v>
      </c>
      <c r="H17" s="3" t="s">
        <v>65</v>
      </c>
      <c r="I17" s="4" t="s">
        <v>66</v>
      </c>
      <c r="J17" s="3" t="s">
        <v>465</v>
      </c>
    </row>
    <row r="18" spans="1:10" s="2" customFormat="1" ht="15" x14ac:dyDescent="0.25">
      <c r="A18" s="6">
        <v>10</v>
      </c>
      <c r="B18" s="7" t="s">
        <v>61</v>
      </c>
      <c r="C18" s="6" t="s">
        <v>62</v>
      </c>
      <c r="D18" s="6" t="s">
        <v>63</v>
      </c>
      <c r="E18" s="6" t="s">
        <v>71</v>
      </c>
      <c r="F18" s="6" t="s">
        <v>71</v>
      </c>
      <c r="G18" s="8">
        <v>1</v>
      </c>
      <c r="H18" s="6" t="s">
        <v>473</v>
      </c>
      <c r="I18" s="7" t="s">
        <v>474</v>
      </c>
      <c r="J18" s="6" t="s">
        <v>465</v>
      </c>
    </row>
    <row r="19" spans="1:10" s="2" customFormat="1" ht="15" x14ac:dyDescent="0.25">
      <c r="A19" s="3">
        <v>11</v>
      </c>
      <c r="B19" s="4" t="s">
        <v>61</v>
      </c>
      <c r="C19" s="3" t="s">
        <v>62</v>
      </c>
      <c r="D19" s="3" t="s">
        <v>63</v>
      </c>
      <c r="E19" s="3" t="s">
        <v>44</v>
      </c>
      <c r="F19" s="3" t="s">
        <v>50</v>
      </c>
      <c r="G19" s="5">
        <v>8</v>
      </c>
      <c r="H19" s="3" t="s">
        <v>65</v>
      </c>
      <c r="I19" s="4" t="s">
        <v>66</v>
      </c>
      <c r="J19" s="3" t="s">
        <v>465</v>
      </c>
    </row>
    <row r="20" spans="1:10" s="2" customFormat="1" ht="15" x14ac:dyDescent="0.25">
      <c r="A20" s="6">
        <v>12</v>
      </c>
      <c r="B20" s="7" t="s">
        <v>72</v>
      </c>
      <c r="C20" s="6" t="s">
        <v>73</v>
      </c>
      <c r="D20" s="6" t="s">
        <v>74</v>
      </c>
      <c r="E20" s="6" t="s">
        <v>214</v>
      </c>
      <c r="F20" s="6" t="s">
        <v>214</v>
      </c>
      <c r="G20" s="8">
        <v>1</v>
      </c>
      <c r="H20" s="6" t="s">
        <v>133</v>
      </c>
      <c r="I20" s="7" t="s">
        <v>134</v>
      </c>
      <c r="J20" s="6" t="s">
        <v>465</v>
      </c>
    </row>
    <row r="21" spans="1:10" s="2" customFormat="1" ht="15" x14ac:dyDescent="0.25">
      <c r="A21" s="3">
        <v>13</v>
      </c>
      <c r="B21" s="4" t="s">
        <v>475</v>
      </c>
      <c r="C21" s="3" t="s">
        <v>476</v>
      </c>
      <c r="D21" s="3" t="s">
        <v>477</v>
      </c>
      <c r="E21" s="3" t="s">
        <v>214</v>
      </c>
      <c r="F21" s="3" t="s">
        <v>214</v>
      </c>
      <c r="G21" s="5">
        <v>1</v>
      </c>
      <c r="H21" s="3" t="s">
        <v>478</v>
      </c>
      <c r="I21" s="4" t="s">
        <v>479</v>
      </c>
      <c r="J21" s="3" t="s">
        <v>480</v>
      </c>
    </row>
    <row r="22" spans="1:10" s="2" customFormat="1" ht="15" x14ac:dyDescent="0.25">
      <c r="A22" s="6">
        <v>14</v>
      </c>
      <c r="B22" s="7" t="s">
        <v>89</v>
      </c>
      <c r="C22" s="6" t="s">
        <v>90</v>
      </c>
      <c r="D22" s="6" t="s">
        <v>91</v>
      </c>
      <c r="E22" s="6" t="s">
        <v>214</v>
      </c>
      <c r="F22" s="6" t="s">
        <v>214</v>
      </c>
      <c r="G22" s="8">
        <v>1</v>
      </c>
      <c r="H22" s="6" t="s">
        <v>100</v>
      </c>
      <c r="I22" s="7" t="s">
        <v>101</v>
      </c>
      <c r="J22" s="6" t="s">
        <v>481</v>
      </c>
    </row>
    <row r="23" spans="1:10" s="2" customFormat="1" ht="15" x14ac:dyDescent="0.25">
      <c r="A23" s="3">
        <v>15</v>
      </c>
      <c r="B23" s="4" t="s">
        <v>482</v>
      </c>
      <c r="C23" s="3" t="s">
        <v>483</v>
      </c>
      <c r="D23" s="3" t="s">
        <v>104</v>
      </c>
      <c r="E23" s="3" t="s">
        <v>81</v>
      </c>
      <c r="F23" s="3" t="s">
        <v>81</v>
      </c>
      <c r="G23" s="5">
        <v>1</v>
      </c>
      <c r="H23" s="3" t="s">
        <v>281</v>
      </c>
      <c r="I23" s="4" t="s">
        <v>282</v>
      </c>
      <c r="J23" s="3" t="s">
        <v>484</v>
      </c>
    </row>
    <row r="24" spans="1:10" s="2" customFormat="1" ht="15" x14ac:dyDescent="0.25">
      <c r="A24" s="6">
        <v>16</v>
      </c>
      <c r="B24" s="7" t="s">
        <v>108</v>
      </c>
      <c r="C24" s="6" t="s">
        <v>109</v>
      </c>
      <c r="D24" s="6" t="s">
        <v>110</v>
      </c>
      <c r="E24" s="6" t="s">
        <v>214</v>
      </c>
      <c r="F24" s="6" t="s">
        <v>214</v>
      </c>
      <c r="G24" s="8">
        <v>1</v>
      </c>
      <c r="H24" s="6" t="s">
        <v>112</v>
      </c>
      <c r="I24" s="7" t="s">
        <v>113</v>
      </c>
      <c r="J24" s="6" t="s">
        <v>485</v>
      </c>
    </row>
    <row r="25" spans="1:10" s="2" customFormat="1" ht="15" x14ac:dyDescent="0.25">
      <c r="A25" s="3">
        <v>17</v>
      </c>
      <c r="B25" s="4" t="s">
        <v>115</v>
      </c>
      <c r="C25" s="3" t="s">
        <v>116</v>
      </c>
      <c r="D25" s="3" t="s">
        <v>110</v>
      </c>
      <c r="E25" s="3" t="s">
        <v>71</v>
      </c>
      <c r="F25" s="3" t="s">
        <v>486</v>
      </c>
      <c r="G25" s="5">
        <v>18</v>
      </c>
      <c r="H25" s="3" t="s">
        <v>119</v>
      </c>
      <c r="I25" s="4" t="s">
        <v>120</v>
      </c>
      <c r="J25" s="3" t="s">
        <v>487</v>
      </c>
    </row>
    <row r="26" spans="1:10" s="2" customFormat="1" ht="15" x14ac:dyDescent="0.25">
      <c r="A26" s="6">
        <v>18</v>
      </c>
      <c r="B26" s="7" t="s">
        <v>122</v>
      </c>
      <c r="C26" s="6" t="s">
        <v>123</v>
      </c>
      <c r="D26" s="6" t="s">
        <v>124</v>
      </c>
      <c r="E26" s="6" t="s">
        <v>457</v>
      </c>
      <c r="F26" s="6" t="s">
        <v>457</v>
      </c>
      <c r="G26" s="8">
        <v>1</v>
      </c>
      <c r="H26" s="6" t="s">
        <v>125</v>
      </c>
      <c r="I26" s="7" t="s">
        <v>126</v>
      </c>
      <c r="J26" s="6" t="s">
        <v>488</v>
      </c>
    </row>
    <row r="27" spans="1:10" s="2" customFormat="1" ht="15" x14ac:dyDescent="0.25">
      <c r="A27" s="3">
        <v>19</v>
      </c>
      <c r="B27" s="4" t="s">
        <v>130</v>
      </c>
      <c r="C27" s="3" t="s">
        <v>131</v>
      </c>
      <c r="D27" s="3" t="s">
        <v>132</v>
      </c>
      <c r="E27" s="3" t="s">
        <v>214</v>
      </c>
      <c r="F27" s="3" t="s">
        <v>214</v>
      </c>
      <c r="G27" s="5">
        <v>1</v>
      </c>
      <c r="H27" s="3" t="s">
        <v>119</v>
      </c>
      <c r="I27" s="4" t="s">
        <v>120</v>
      </c>
      <c r="J27" s="3" t="s">
        <v>465</v>
      </c>
    </row>
    <row r="28" spans="1:10" s="2" customFormat="1" ht="15" x14ac:dyDescent="0.25">
      <c r="A28" s="6">
        <v>20</v>
      </c>
      <c r="B28" s="7" t="s">
        <v>135</v>
      </c>
      <c r="C28" s="6" t="s">
        <v>136</v>
      </c>
      <c r="D28" s="6" t="s">
        <v>137</v>
      </c>
      <c r="E28" s="6" t="s">
        <v>81</v>
      </c>
      <c r="F28" s="6" t="s">
        <v>81</v>
      </c>
      <c r="G28" s="8">
        <v>1</v>
      </c>
      <c r="H28" s="6" t="s">
        <v>138</v>
      </c>
      <c r="I28" s="7" t="s">
        <v>139</v>
      </c>
      <c r="J28" s="6" t="s">
        <v>465</v>
      </c>
    </row>
    <row r="29" spans="1:10" s="2" customFormat="1" ht="15" x14ac:dyDescent="0.25">
      <c r="A29" s="3">
        <v>21</v>
      </c>
      <c r="B29" s="4" t="s">
        <v>140</v>
      </c>
      <c r="C29" s="3" t="s">
        <v>141</v>
      </c>
      <c r="D29" s="3" t="s">
        <v>142</v>
      </c>
      <c r="E29" s="3" t="s">
        <v>457</v>
      </c>
      <c r="F29" s="3" t="s">
        <v>457</v>
      </c>
      <c r="G29" s="5">
        <v>1</v>
      </c>
      <c r="H29" s="3" t="s">
        <v>143</v>
      </c>
      <c r="I29" s="4" t="s">
        <v>144</v>
      </c>
      <c r="J29" s="3" t="s">
        <v>489</v>
      </c>
    </row>
    <row r="30" spans="1:10" s="2" customFormat="1" ht="15" x14ac:dyDescent="0.25">
      <c r="A30" s="6">
        <v>22</v>
      </c>
      <c r="B30" s="7" t="s">
        <v>145</v>
      </c>
      <c r="C30" s="6" t="s">
        <v>146</v>
      </c>
      <c r="D30" s="6" t="s">
        <v>147</v>
      </c>
      <c r="E30" s="6" t="s">
        <v>81</v>
      </c>
      <c r="F30" s="6" t="s">
        <v>81</v>
      </c>
      <c r="G30" s="8">
        <v>1</v>
      </c>
      <c r="H30" s="6" t="s">
        <v>148</v>
      </c>
      <c r="I30" s="7" t="s">
        <v>149</v>
      </c>
      <c r="J30" s="6" t="s">
        <v>465</v>
      </c>
    </row>
    <row r="31" spans="1:10" s="2" customFormat="1" ht="15" x14ac:dyDescent="0.25">
      <c r="A31" s="3">
        <v>23</v>
      </c>
      <c r="B31" s="4" t="s">
        <v>150</v>
      </c>
      <c r="C31" s="3" t="s">
        <v>151</v>
      </c>
      <c r="D31" s="3" t="s">
        <v>152</v>
      </c>
      <c r="E31" s="3" t="s">
        <v>214</v>
      </c>
      <c r="F31" s="3" t="s">
        <v>214</v>
      </c>
      <c r="G31" s="5">
        <v>1</v>
      </c>
      <c r="H31" s="3" t="s">
        <v>138</v>
      </c>
      <c r="I31" s="4" t="s">
        <v>139</v>
      </c>
      <c r="J31" s="3" t="s">
        <v>465</v>
      </c>
    </row>
    <row r="32" spans="1:10" s="2" customFormat="1" ht="15" x14ac:dyDescent="0.25">
      <c r="A32" s="6">
        <v>24</v>
      </c>
      <c r="B32" s="7" t="s">
        <v>153</v>
      </c>
      <c r="C32" s="6" t="s">
        <v>154</v>
      </c>
      <c r="D32" s="6" t="s">
        <v>155</v>
      </c>
      <c r="E32" s="6" t="s">
        <v>81</v>
      </c>
      <c r="F32" s="6" t="s">
        <v>81</v>
      </c>
      <c r="G32" s="8">
        <v>1</v>
      </c>
      <c r="H32" s="6" t="s">
        <v>161</v>
      </c>
      <c r="I32" s="7" t="s">
        <v>162</v>
      </c>
      <c r="J32" s="6" t="s">
        <v>465</v>
      </c>
    </row>
    <row r="33" spans="1:10" s="2" customFormat="1" ht="15" x14ac:dyDescent="0.25">
      <c r="A33" s="3">
        <v>25</v>
      </c>
      <c r="B33" s="4" t="s">
        <v>163</v>
      </c>
      <c r="C33" s="3" t="s">
        <v>164</v>
      </c>
      <c r="D33" s="3" t="s">
        <v>165</v>
      </c>
      <c r="E33" s="3" t="s">
        <v>81</v>
      </c>
      <c r="F33" s="3" t="s">
        <v>81</v>
      </c>
      <c r="G33" s="5">
        <v>1</v>
      </c>
      <c r="H33" s="3" t="s">
        <v>490</v>
      </c>
      <c r="I33" s="4" t="s">
        <v>491</v>
      </c>
      <c r="J33" s="3" t="s">
        <v>465</v>
      </c>
    </row>
    <row r="34" spans="1:10" s="2" customFormat="1" ht="15" x14ac:dyDescent="0.25">
      <c r="A34" s="6">
        <v>26</v>
      </c>
      <c r="B34" s="7" t="s">
        <v>492</v>
      </c>
      <c r="C34" s="6" t="s">
        <v>493</v>
      </c>
      <c r="D34" s="6" t="s">
        <v>494</v>
      </c>
      <c r="E34" s="6" t="s">
        <v>214</v>
      </c>
      <c r="F34" s="6" t="s">
        <v>214</v>
      </c>
      <c r="G34" s="8">
        <v>1</v>
      </c>
      <c r="H34" s="6" t="s">
        <v>400</v>
      </c>
      <c r="I34" s="7" t="s">
        <v>401</v>
      </c>
      <c r="J34" s="6" t="s">
        <v>465</v>
      </c>
    </row>
    <row r="35" spans="1:10" s="2" customFormat="1" ht="15" x14ac:dyDescent="0.25">
      <c r="A35" s="3">
        <v>27</v>
      </c>
      <c r="B35" s="4" t="s">
        <v>171</v>
      </c>
      <c r="C35" s="3" t="s">
        <v>172</v>
      </c>
      <c r="D35" s="3" t="s">
        <v>173</v>
      </c>
      <c r="E35" s="3" t="s">
        <v>457</v>
      </c>
      <c r="F35" s="3" t="s">
        <v>457</v>
      </c>
      <c r="G35" s="5">
        <v>1</v>
      </c>
      <c r="H35" s="3" t="s">
        <v>100</v>
      </c>
      <c r="I35" s="4" t="s">
        <v>101</v>
      </c>
      <c r="J35" s="3" t="s">
        <v>465</v>
      </c>
    </row>
    <row r="36" spans="1:10" s="2" customFormat="1" ht="15" x14ac:dyDescent="0.25">
      <c r="A36" s="6">
        <v>28</v>
      </c>
      <c r="B36" s="7" t="s">
        <v>177</v>
      </c>
      <c r="C36" s="6" t="s">
        <v>178</v>
      </c>
      <c r="D36" s="6" t="s">
        <v>179</v>
      </c>
      <c r="E36" s="6" t="s">
        <v>214</v>
      </c>
      <c r="F36" s="6" t="s">
        <v>214</v>
      </c>
      <c r="G36" s="8">
        <v>1</v>
      </c>
      <c r="H36" s="6" t="s">
        <v>181</v>
      </c>
      <c r="I36" s="7" t="s">
        <v>182</v>
      </c>
      <c r="J36" s="6" t="s">
        <v>465</v>
      </c>
    </row>
    <row r="37" spans="1:10" s="2" customFormat="1" ht="15" x14ac:dyDescent="0.25">
      <c r="A37" s="3">
        <v>29</v>
      </c>
      <c r="B37" s="4" t="s">
        <v>495</v>
      </c>
      <c r="C37" s="3" t="s">
        <v>496</v>
      </c>
      <c r="D37" s="3" t="s">
        <v>497</v>
      </c>
      <c r="E37" s="3" t="s">
        <v>214</v>
      </c>
      <c r="F37" s="3" t="s">
        <v>214</v>
      </c>
      <c r="G37" s="5">
        <v>1</v>
      </c>
      <c r="H37" s="3" t="s">
        <v>405</v>
      </c>
      <c r="I37" s="4" t="s">
        <v>406</v>
      </c>
      <c r="J37" s="3" t="s">
        <v>465</v>
      </c>
    </row>
    <row r="38" spans="1:10" s="2" customFormat="1" ht="15" x14ac:dyDescent="0.25">
      <c r="A38" s="6">
        <v>30</v>
      </c>
      <c r="B38" s="7" t="s">
        <v>206</v>
      </c>
      <c r="C38" s="6" t="s">
        <v>207</v>
      </c>
      <c r="D38" s="6" t="s">
        <v>200</v>
      </c>
      <c r="E38" s="6" t="s">
        <v>457</v>
      </c>
      <c r="F38" s="6" t="s">
        <v>457</v>
      </c>
      <c r="G38" s="8">
        <v>1</v>
      </c>
      <c r="H38" s="6" t="s">
        <v>201</v>
      </c>
      <c r="I38" s="7" t="s">
        <v>202</v>
      </c>
      <c r="J38" s="6" t="s">
        <v>465</v>
      </c>
    </row>
    <row r="39" spans="1:10" s="2" customFormat="1" ht="15" x14ac:dyDescent="0.25">
      <c r="A39" s="3">
        <v>31</v>
      </c>
      <c r="B39" s="4" t="s">
        <v>498</v>
      </c>
      <c r="C39" s="3" t="s">
        <v>499</v>
      </c>
      <c r="D39" s="3" t="s">
        <v>500</v>
      </c>
      <c r="E39" s="3" t="s">
        <v>457</v>
      </c>
      <c r="F39" s="3" t="s">
        <v>457</v>
      </c>
      <c r="G39" s="5">
        <v>1</v>
      </c>
      <c r="H39" s="3" t="s">
        <v>138</v>
      </c>
      <c r="I39" s="4" t="s">
        <v>139</v>
      </c>
      <c r="J39" s="3" t="s">
        <v>465</v>
      </c>
    </row>
    <row r="40" spans="1:10" s="2" customFormat="1" ht="15" x14ac:dyDescent="0.25">
      <c r="A40" s="6">
        <v>32</v>
      </c>
      <c r="B40" s="7" t="s">
        <v>220</v>
      </c>
      <c r="C40" s="6" t="s">
        <v>221</v>
      </c>
      <c r="D40" s="6" t="s">
        <v>222</v>
      </c>
      <c r="E40" s="6" t="s">
        <v>214</v>
      </c>
      <c r="F40" s="6" t="s">
        <v>214</v>
      </c>
      <c r="G40" s="8">
        <v>1</v>
      </c>
      <c r="H40" s="6" t="s">
        <v>223</v>
      </c>
      <c r="I40" s="7" t="s">
        <v>224</v>
      </c>
      <c r="J40" s="6" t="s">
        <v>501</v>
      </c>
    </row>
    <row r="41" spans="1:10" s="2" customFormat="1" ht="15" x14ac:dyDescent="0.25">
      <c r="A41" s="3">
        <v>33</v>
      </c>
      <c r="B41" s="4" t="s">
        <v>502</v>
      </c>
      <c r="C41" s="3" t="s">
        <v>503</v>
      </c>
      <c r="D41" s="3" t="s">
        <v>222</v>
      </c>
      <c r="E41" s="3" t="s">
        <v>81</v>
      </c>
      <c r="F41" s="3" t="s">
        <v>81</v>
      </c>
      <c r="G41" s="5">
        <v>1</v>
      </c>
      <c r="H41" s="3" t="s">
        <v>225</v>
      </c>
      <c r="I41" s="4" t="s">
        <v>226</v>
      </c>
      <c r="J41" s="3" t="s">
        <v>465</v>
      </c>
    </row>
    <row r="42" spans="1:10" s="2" customFormat="1" ht="15" x14ac:dyDescent="0.25">
      <c r="A42" s="6">
        <v>34</v>
      </c>
      <c r="B42" s="7" t="s">
        <v>228</v>
      </c>
      <c r="C42" s="6" t="s">
        <v>229</v>
      </c>
      <c r="D42" s="6" t="s">
        <v>230</v>
      </c>
      <c r="E42" s="6" t="s">
        <v>457</v>
      </c>
      <c r="F42" s="6" t="s">
        <v>457</v>
      </c>
      <c r="G42" s="8">
        <v>1</v>
      </c>
      <c r="H42" s="6" t="s">
        <v>218</v>
      </c>
      <c r="I42" s="7" t="s">
        <v>219</v>
      </c>
      <c r="J42" s="6" t="s">
        <v>114</v>
      </c>
    </row>
    <row r="43" spans="1:10" s="2" customFormat="1" ht="15" x14ac:dyDescent="0.25">
      <c r="A43" s="3">
        <v>35</v>
      </c>
      <c r="B43" s="4" t="s">
        <v>233</v>
      </c>
      <c r="C43" s="3" t="s">
        <v>234</v>
      </c>
      <c r="D43" s="3" t="s">
        <v>235</v>
      </c>
      <c r="E43" s="3" t="s">
        <v>81</v>
      </c>
      <c r="F43" s="3" t="s">
        <v>81</v>
      </c>
      <c r="G43" s="5">
        <v>1</v>
      </c>
      <c r="H43" s="3" t="s">
        <v>119</v>
      </c>
      <c r="I43" s="4" t="s">
        <v>120</v>
      </c>
      <c r="J43" s="3" t="s">
        <v>469</v>
      </c>
    </row>
    <row r="44" spans="1:10" s="2" customFormat="1" ht="15" x14ac:dyDescent="0.25">
      <c r="A44" s="6">
        <v>36</v>
      </c>
      <c r="B44" s="7" t="s">
        <v>504</v>
      </c>
      <c r="C44" s="6" t="s">
        <v>505</v>
      </c>
      <c r="D44" s="6" t="s">
        <v>506</v>
      </c>
      <c r="E44" s="6" t="s">
        <v>457</v>
      </c>
      <c r="F44" s="6" t="s">
        <v>457</v>
      </c>
      <c r="G44" s="8">
        <v>1</v>
      </c>
      <c r="H44" s="6" t="s">
        <v>400</v>
      </c>
      <c r="I44" s="7" t="s">
        <v>401</v>
      </c>
      <c r="J44" s="6" t="s">
        <v>465</v>
      </c>
    </row>
    <row r="45" spans="1:10" s="2" customFormat="1" ht="15" x14ac:dyDescent="0.25">
      <c r="A45" s="3">
        <v>37</v>
      </c>
      <c r="B45" s="4" t="s">
        <v>504</v>
      </c>
      <c r="C45" s="3" t="s">
        <v>505</v>
      </c>
      <c r="D45" s="3" t="s">
        <v>506</v>
      </c>
      <c r="E45" s="3" t="s">
        <v>71</v>
      </c>
      <c r="F45" s="3" t="s">
        <v>486</v>
      </c>
      <c r="G45" s="5">
        <v>18</v>
      </c>
      <c r="H45" s="3" t="s">
        <v>400</v>
      </c>
      <c r="I45" s="4" t="s">
        <v>401</v>
      </c>
      <c r="J45" s="3" t="s">
        <v>507</v>
      </c>
    </row>
    <row r="46" spans="1:10" s="2" customFormat="1" ht="15" x14ac:dyDescent="0.25">
      <c r="A46" s="6">
        <v>38</v>
      </c>
      <c r="B46" s="7" t="s">
        <v>245</v>
      </c>
      <c r="C46" s="6" t="s">
        <v>246</v>
      </c>
      <c r="D46" s="6" t="s">
        <v>247</v>
      </c>
      <c r="E46" s="6" t="s">
        <v>457</v>
      </c>
      <c r="F46" s="6" t="s">
        <v>457</v>
      </c>
      <c r="G46" s="8">
        <v>1</v>
      </c>
      <c r="H46" s="6" t="s">
        <v>92</v>
      </c>
      <c r="I46" s="7" t="s">
        <v>93</v>
      </c>
      <c r="J46" s="6" t="s">
        <v>465</v>
      </c>
    </row>
    <row r="47" spans="1:10" s="2" customFormat="1" ht="15" x14ac:dyDescent="0.25">
      <c r="A47" s="3">
        <v>39</v>
      </c>
      <c r="B47" s="4" t="s">
        <v>253</v>
      </c>
      <c r="C47" s="3" t="s">
        <v>254</v>
      </c>
      <c r="D47" s="3" t="s">
        <v>255</v>
      </c>
      <c r="E47" s="3" t="s">
        <v>214</v>
      </c>
      <c r="F47" s="3" t="s">
        <v>214</v>
      </c>
      <c r="G47" s="5">
        <v>1</v>
      </c>
      <c r="H47" s="3" t="s">
        <v>324</v>
      </c>
      <c r="I47" s="4" t="s">
        <v>325</v>
      </c>
      <c r="J47" s="3" t="s">
        <v>465</v>
      </c>
    </row>
    <row r="48" spans="1:10" s="2" customFormat="1" ht="15" x14ac:dyDescent="0.25">
      <c r="A48" s="6">
        <v>40</v>
      </c>
      <c r="B48" s="7" t="s">
        <v>508</v>
      </c>
      <c r="C48" s="6" t="s">
        <v>509</v>
      </c>
      <c r="D48" s="6" t="s">
        <v>255</v>
      </c>
      <c r="E48" s="6" t="s">
        <v>71</v>
      </c>
      <c r="F48" s="6" t="s">
        <v>486</v>
      </c>
      <c r="G48" s="8">
        <v>18</v>
      </c>
      <c r="H48" s="6" t="s">
        <v>490</v>
      </c>
      <c r="I48" s="7" t="s">
        <v>491</v>
      </c>
      <c r="J48" s="6" t="s">
        <v>507</v>
      </c>
    </row>
    <row r="49" spans="1:10" s="2" customFormat="1" ht="15" x14ac:dyDescent="0.25">
      <c r="A49" s="3">
        <v>41</v>
      </c>
      <c r="B49" s="4" t="s">
        <v>510</v>
      </c>
      <c r="C49" s="3" t="s">
        <v>511</v>
      </c>
      <c r="D49" s="3" t="s">
        <v>261</v>
      </c>
      <c r="E49" s="3" t="s">
        <v>214</v>
      </c>
      <c r="F49" s="3" t="s">
        <v>214</v>
      </c>
      <c r="G49" s="5">
        <v>1</v>
      </c>
      <c r="H49" s="3" t="s">
        <v>267</v>
      </c>
      <c r="I49" s="4" t="s">
        <v>268</v>
      </c>
      <c r="J49" s="3" t="s">
        <v>512</v>
      </c>
    </row>
    <row r="50" spans="1:10" s="2" customFormat="1" ht="15" x14ac:dyDescent="0.25">
      <c r="A50" s="6">
        <v>42</v>
      </c>
      <c r="B50" s="7" t="s">
        <v>513</v>
      </c>
      <c r="C50" s="6" t="s">
        <v>514</v>
      </c>
      <c r="D50" s="6" t="s">
        <v>515</v>
      </c>
      <c r="E50" s="6" t="s">
        <v>71</v>
      </c>
      <c r="F50" s="6" t="s">
        <v>45</v>
      </c>
      <c r="G50" s="8">
        <v>4</v>
      </c>
      <c r="H50" s="6" t="s">
        <v>249</v>
      </c>
      <c r="I50" s="7" t="s">
        <v>250</v>
      </c>
      <c r="J50" s="6" t="s">
        <v>516</v>
      </c>
    </row>
    <row r="51" spans="1:10" s="2" customFormat="1" ht="15" x14ac:dyDescent="0.25">
      <c r="A51" s="3">
        <v>43</v>
      </c>
      <c r="B51" s="4" t="s">
        <v>275</v>
      </c>
      <c r="C51" s="3" t="s">
        <v>276</v>
      </c>
      <c r="D51" s="3" t="s">
        <v>277</v>
      </c>
      <c r="E51" s="3" t="s">
        <v>81</v>
      </c>
      <c r="F51" s="3" t="s">
        <v>81</v>
      </c>
      <c r="G51" s="5">
        <v>1</v>
      </c>
      <c r="H51" s="3" t="s">
        <v>100</v>
      </c>
      <c r="I51" s="4" t="s">
        <v>101</v>
      </c>
      <c r="J51" s="3" t="s">
        <v>517</v>
      </c>
    </row>
    <row r="52" spans="1:10" s="2" customFormat="1" ht="15" x14ac:dyDescent="0.25">
      <c r="A52" s="6">
        <v>44</v>
      </c>
      <c r="B52" s="7" t="s">
        <v>283</v>
      </c>
      <c r="C52" s="6" t="s">
        <v>284</v>
      </c>
      <c r="D52" s="6" t="s">
        <v>280</v>
      </c>
      <c r="E52" s="6" t="s">
        <v>81</v>
      </c>
      <c r="F52" s="6" t="s">
        <v>81</v>
      </c>
      <c r="G52" s="8">
        <v>1</v>
      </c>
      <c r="H52" s="6" t="s">
        <v>285</v>
      </c>
      <c r="I52" s="7" t="s">
        <v>286</v>
      </c>
      <c r="J52" s="6" t="s">
        <v>518</v>
      </c>
    </row>
    <row r="53" spans="1:10" s="2" customFormat="1" ht="15" x14ac:dyDescent="0.25">
      <c r="A53" s="3">
        <v>45</v>
      </c>
      <c r="B53" s="4" t="s">
        <v>290</v>
      </c>
      <c r="C53" s="3" t="s">
        <v>291</v>
      </c>
      <c r="D53" s="3" t="s">
        <v>292</v>
      </c>
      <c r="E53" s="3" t="s">
        <v>214</v>
      </c>
      <c r="F53" s="3" t="s">
        <v>214</v>
      </c>
      <c r="G53" s="5">
        <v>1</v>
      </c>
      <c r="H53" s="3" t="s">
        <v>293</v>
      </c>
      <c r="I53" s="4" t="s">
        <v>294</v>
      </c>
      <c r="J53" s="3" t="s">
        <v>519</v>
      </c>
    </row>
    <row r="54" spans="1:10" s="2" customFormat="1" ht="15" x14ac:dyDescent="0.25">
      <c r="A54" s="6">
        <v>46</v>
      </c>
      <c r="B54" s="7" t="s">
        <v>295</v>
      </c>
      <c r="C54" s="6" t="s">
        <v>296</v>
      </c>
      <c r="D54" s="6" t="s">
        <v>292</v>
      </c>
      <c r="E54" s="6" t="s">
        <v>81</v>
      </c>
      <c r="F54" s="6" t="s">
        <v>81</v>
      </c>
      <c r="G54" s="8">
        <v>1</v>
      </c>
      <c r="H54" s="6" t="s">
        <v>257</v>
      </c>
      <c r="I54" s="7" t="s">
        <v>258</v>
      </c>
      <c r="J54" s="6" t="s">
        <v>465</v>
      </c>
    </row>
    <row r="55" spans="1:10" s="2" customFormat="1" ht="15" x14ac:dyDescent="0.25">
      <c r="A55" s="3">
        <v>47</v>
      </c>
      <c r="B55" s="4" t="s">
        <v>305</v>
      </c>
      <c r="C55" s="3" t="s">
        <v>306</v>
      </c>
      <c r="D55" s="3" t="s">
        <v>307</v>
      </c>
      <c r="E55" s="3" t="s">
        <v>457</v>
      </c>
      <c r="F55" s="3" t="s">
        <v>457</v>
      </c>
      <c r="G55" s="5">
        <v>1</v>
      </c>
      <c r="H55" s="3" t="s">
        <v>520</v>
      </c>
      <c r="I55" s="4" t="s">
        <v>521</v>
      </c>
      <c r="J55" s="3" t="s">
        <v>114</v>
      </c>
    </row>
    <row r="56" spans="1:10" s="2" customFormat="1" ht="15" x14ac:dyDescent="0.25">
      <c r="A56" s="6">
        <v>48</v>
      </c>
      <c r="B56" s="7" t="s">
        <v>522</v>
      </c>
      <c r="C56" s="6" t="s">
        <v>249</v>
      </c>
      <c r="D56" s="6" t="s">
        <v>312</v>
      </c>
      <c r="E56" s="6" t="s">
        <v>457</v>
      </c>
      <c r="F56" s="6" t="s">
        <v>457</v>
      </c>
      <c r="G56" s="8">
        <v>1</v>
      </c>
      <c r="H56" s="6" t="s">
        <v>313</v>
      </c>
      <c r="I56" s="7" t="s">
        <v>314</v>
      </c>
      <c r="J56" s="6" t="s">
        <v>523</v>
      </c>
    </row>
    <row r="57" spans="1:10" s="2" customFormat="1" ht="15" x14ac:dyDescent="0.25">
      <c r="A57" s="3">
        <v>49</v>
      </c>
      <c r="B57" s="4" t="s">
        <v>522</v>
      </c>
      <c r="C57" s="3" t="s">
        <v>249</v>
      </c>
      <c r="D57" s="3" t="s">
        <v>312</v>
      </c>
      <c r="E57" s="3" t="s">
        <v>71</v>
      </c>
      <c r="F57" s="3" t="s">
        <v>486</v>
      </c>
      <c r="G57" s="5">
        <v>18</v>
      </c>
      <c r="H57" s="3" t="s">
        <v>524</v>
      </c>
      <c r="I57" s="4" t="s">
        <v>525</v>
      </c>
      <c r="J57" s="3" t="s">
        <v>465</v>
      </c>
    </row>
    <row r="58" spans="1:10" s="2" customFormat="1" ht="15" x14ac:dyDescent="0.25">
      <c r="A58" s="6">
        <v>50</v>
      </c>
      <c r="B58" s="7" t="s">
        <v>310</v>
      </c>
      <c r="C58" s="6" t="s">
        <v>311</v>
      </c>
      <c r="D58" s="6" t="s">
        <v>312</v>
      </c>
      <c r="E58" s="6" t="s">
        <v>81</v>
      </c>
      <c r="F58" s="6" t="s">
        <v>81</v>
      </c>
      <c r="G58" s="8">
        <v>1</v>
      </c>
      <c r="H58" s="6" t="s">
        <v>524</v>
      </c>
      <c r="I58" s="7" t="s">
        <v>525</v>
      </c>
      <c r="J58" s="6" t="s">
        <v>526</v>
      </c>
    </row>
    <row r="59" spans="1:10" s="2" customFormat="1" ht="15" x14ac:dyDescent="0.25">
      <c r="A59" s="3">
        <v>51</v>
      </c>
      <c r="B59" s="4" t="s">
        <v>317</v>
      </c>
      <c r="C59" s="3" t="s">
        <v>318</v>
      </c>
      <c r="D59" s="3" t="s">
        <v>319</v>
      </c>
      <c r="E59" s="3" t="s">
        <v>81</v>
      </c>
      <c r="F59" s="3" t="s">
        <v>81</v>
      </c>
      <c r="G59" s="5">
        <v>1</v>
      </c>
      <c r="H59" s="3" t="s">
        <v>320</v>
      </c>
      <c r="I59" s="4" t="s">
        <v>321</v>
      </c>
      <c r="J59" s="3" t="s">
        <v>512</v>
      </c>
    </row>
    <row r="60" spans="1:10" s="2" customFormat="1" ht="15" x14ac:dyDescent="0.25">
      <c r="A60" s="6">
        <v>52</v>
      </c>
      <c r="B60" s="7" t="s">
        <v>527</v>
      </c>
      <c r="C60" s="6" t="s">
        <v>528</v>
      </c>
      <c r="D60" s="6" t="s">
        <v>329</v>
      </c>
      <c r="E60" s="6" t="s">
        <v>457</v>
      </c>
      <c r="F60" s="6" t="s">
        <v>457</v>
      </c>
      <c r="G60" s="8">
        <v>1</v>
      </c>
      <c r="H60" s="6" t="s">
        <v>330</v>
      </c>
      <c r="I60" s="7" t="s">
        <v>331</v>
      </c>
      <c r="J60" s="6" t="s">
        <v>529</v>
      </c>
    </row>
    <row r="61" spans="1:10" s="2" customFormat="1" ht="15" x14ac:dyDescent="0.25">
      <c r="A61" s="3">
        <v>53</v>
      </c>
      <c r="B61" s="4" t="s">
        <v>327</v>
      </c>
      <c r="C61" s="3" t="s">
        <v>328</v>
      </c>
      <c r="D61" s="3" t="s">
        <v>329</v>
      </c>
      <c r="E61" s="3" t="s">
        <v>214</v>
      </c>
      <c r="F61" s="3" t="s">
        <v>214</v>
      </c>
      <c r="G61" s="5">
        <v>1</v>
      </c>
      <c r="H61" s="3" t="s">
        <v>330</v>
      </c>
      <c r="I61" s="4" t="s">
        <v>331</v>
      </c>
      <c r="J61" s="3" t="s">
        <v>530</v>
      </c>
    </row>
    <row r="62" spans="1:10" s="2" customFormat="1" ht="15" x14ac:dyDescent="0.25">
      <c r="A62" s="6">
        <v>54</v>
      </c>
      <c r="B62" s="7" t="s">
        <v>531</v>
      </c>
      <c r="C62" s="6" t="s">
        <v>532</v>
      </c>
      <c r="D62" s="6" t="s">
        <v>334</v>
      </c>
      <c r="E62" s="6" t="s">
        <v>457</v>
      </c>
      <c r="F62" s="6" t="s">
        <v>457</v>
      </c>
      <c r="G62" s="8">
        <v>1</v>
      </c>
      <c r="H62" s="6" t="s">
        <v>281</v>
      </c>
      <c r="I62" s="7" t="s">
        <v>282</v>
      </c>
      <c r="J62" s="6" t="s">
        <v>533</v>
      </c>
    </row>
    <row r="63" spans="1:10" s="2" customFormat="1" ht="15" x14ac:dyDescent="0.25">
      <c r="A63" s="3">
        <v>55</v>
      </c>
      <c r="B63" s="4" t="s">
        <v>534</v>
      </c>
      <c r="C63" s="3" t="s">
        <v>535</v>
      </c>
      <c r="D63" s="3" t="s">
        <v>339</v>
      </c>
      <c r="E63" s="3" t="s">
        <v>457</v>
      </c>
      <c r="F63" s="3" t="s">
        <v>457</v>
      </c>
      <c r="G63" s="5">
        <v>1</v>
      </c>
      <c r="H63" s="3" t="s">
        <v>340</v>
      </c>
      <c r="I63" s="4" t="s">
        <v>341</v>
      </c>
      <c r="J63" s="3" t="s">
        <v>536</v>
      </c>
    </row>
    <row r="64" spans="1:10" s="2" customFormat="1" ht="15" x14ac:dyDescent="0.25">
      <c r="A64" s="6">
        <v>56</v>
      </c>
      <c r="B64" s="7" t="s">
        <v>337</v>
      </c>
      <c r="C64" s="6" t="s">
        <v>338</v>
      </c>
      <c r="D64" s="6" t="s">
        <v>339</v>
      </c>
      <c r="E64" s="6" t="s">
        <v>214</v>
      </c>
      <c r="F64" s="6" t="s">
        <v>214</v>
      </c>
      <c r="G64" s="8">
        <v>1</v>
      </c>
      <c r="H64" s="6" t="s">
        <v>340</v>
      </c>
      <c r="I64" s="7" t="s">
        <v>341</v>
      </c>
      <c r="J64" s="6" t="s">
        <v>465</v>
      </c>
    </row>
    <row r="65" spans="1:10" s="2" customFormat="1" ht="15" x14ac:dyDescent="0.25">
      <c r="A65" s="3">
        <v>57</v>
      </c>
      <c r="B65" s="4" t="s">
        <v>537</v>
      </c>
      <c r="C65" s="3" t="s">
        <v>538</v>
      </c>
      <c r="D65" s="3" t="s">
        <v>539</v>
      </c>
      <c r="E65" s="3" t="s">
        <v>214</v>
      </c>
      <c r="F65" s="3" t="s">
        <v>214</v>
      </c>
      <c r="G65" s="5">
        <v>1</v>
      </c>
      <c r="H65" s="3" t="s">
        <v>285</v>
      </c>
      <c r="I65" s="4" t="s">
        <v>286</v>
      </c>
      <c r="J65" s="3" t="s">
        <v>465</v>
      </c>
    </row>
    <row r="66" spans="1:10" s="2" customFormat="1" ht="15" x14ac:dyDescent="0.25">
      <c r="A66" s="6">
        <v>58</v>
      </c>
      <c r="B66" s="7" t="s">
        <v>540</v>
      </c>
      <c r="C66" s="6" t="s">
        <v>541</v>
      </c>
      <c r="D66" s="6" t="s">
        <v>539</v>
      </c>
      <c r="E66" s="6" t="s">
        <v>457</v>
      </c>
      <c r="F66" s="6" t="s">
        <v>457</v>
      </c>
      <c r="G66" s="8">
        <v>1</v>
      </c>
      <c r="H66" s="6" t="s">
        <v>308</v>
      </c>
      <c r="I66" s="7" t="s">
        <v>309</v>
      </c>
      <c r="J66" s="6" t="s">
        <v>465</v>
      </c>
    </row>
    <row r="67" spans="1:10" s="2" customFormat="1" ht="15" x14ac:dyDescent="0.25">
      <c r="A67" s="3">
        <v>59</v>
      </c>
      <c r="B67" s="4" t="s">
        <v>540</v>
      </c>
      <c r="C67" s="3" t="s">
        <v>541</v>
      </c>
      <c r="D67" s="3" t="s">
        <v>539</v>
      </c>
      <c r="E67" s="3" t="s">
        <v>71</v>
      </c>
      <c r="F67" s="3" t="s">
        <v>50</v>
      </c>
      <c r="G67" s="5">
        <v>9</v>
      </c>
      <c r="H67" s="3" t="s">
        <v>148</v>
      </c>
      <c r="I67" s="4" t="s">
        <v>149</v>
      </c>
      <c r="J67" s="3" t="s">
        <v>487</v>
      </c>
    </row>
    <row r="68" spans="1:10" s="2" customFormat="1" ht="15" x14ac:dyDescent="0.25">
      <c r="A68" s="6">
        <v>60</v>
      </c>
      <c r="B68" s="7" t="s">
        <v>354</v>
      </c>
      <c r="C68" s="6" t="s">
        <v>355</v>
      </c>
      <c r="D68" s="6" t="s">
        <v>349</v>
      </c>
      <c r="E68" s="6" t="s">
        <v>81</v>
      </c>
      <c r="F68" s="6" t="s">
        <v>81</v>
      </c>
      <c r="G68" s="8">
        <v>1</v>
      </c>
      <c r="H68" s="6" t="s">
        <v>356</v>
      </c>
      <c r="I68" s="7" t="s">
        <v>357</v>
      </c>
      <c r="J68" s="6" t="s">
        <v>542</v>
      </c>
    </row>
    <row r="69" spans="1:10" s="2" customFormat="1" ht="15" x14ac:dyDescent="0.25">
      <c r="A69" s="3">
        <v>61</v>
      </c>
      <c r="B69" s="4" t="s">
        <v>543</v>
      </c>
      <c r="C69" s="3" t="s">
        <v>544</v>
      </c>
      <c r="D69" s="3" t="s">
        <v>545</v>
      </c>
      <c r="E69" s="3" t="s">
        <v>214</v>
      </c>
      <c r="F69" s="3" t="s">
        <v>214</v>
      </c>
      <c r="G69" s="5">
        <v>1</v>
      </c>
      <c r="H69" s="3" t="s">
        <v>546</v>
      </c>
      <c r="I69" s="4" t="s">
        <v>547</v>
      </c>
      <c r="J69" s="3" t="s">
        <v>548</v>
      </c>
    </row>
    <row r="70" spans="1:10" s="2" customFormat="1" ht="15" x14ac:dyDescent="0.25">
      <c r="A70" s="6">
        <v>62</v>
      </c>
      <c r="B70" s="7" t="s">
        <v>549</v>
      </c>
      <c r="C70" s="6" t="s">
        <v>550</v>
      </c>
      <c r="D70" s="6" t="s">
        <v>363</v>
      </c>
      <c r="E70" s="6" t="s">
        <v>457</v>
      </c>
      <c r="F70" s="6" t="s">
        <v>457</v>
      </c>
      <c r="G70" s="8">
        <v>1</v>
      </c>
      <c r="H70" s="6" t="s">
        <v>364</v>
      </c>
      <c r="I70" s="7" t="s">
        <v>365</v>
      </c>
      <c r="J70" s="6" t="s">
        <v>551</v>
      </c>
    </row>
    <row r="71" spans="1:10" s="2" customFormat="1" ht="15" x14ac:dyDescent="0.25">
      <c r="A71" s="3">
        <v>63</v>
      </c>
      <c r="B71" s="4" t="s">
        <v>549</v>
      </c>
      <c r="C71" s="3" t="s">
        <v>550</v>
      </c>
      <c r="D71" s="3" t="s">
        <v>363</v>
      </c>
      <c r="E71" s="3" t="s">
        <v>71</v>
      </c>
      <c r="F71" s="3" t="s">
        <v>45</v>
      </c>
      <c r="G71" s="5">
        <v>4</v>
      </c>
      <c r="H71" s="3" t="s">
        <v>364</v>
      </c>
      <c r="I71" s="4" t="s">
        <v>365</v>
      </c>
      <c r="J71" s="3" t="s">
        <v>516</v>
      </c>
    </row>
    <row r="72" spans="1:10" s="2" customFormat="1" ht="15" x14ac:dyDescent="0.25">
      <c r="A72" s="6">
        <v>64</v>
      </c>
      <c r="B72" s="7" t="s">
        <v>549</v>
      </c>
      <c r="C72" s="6" t="s">
        <v>550</v>
      </c>
      <c r="D72" s="6" t="s">
        <v>363</v>
      </c>
      <c r="E72" s="6" t="s">
        <v>111</v>
      </c>
      <c r="F72" s="6" t="s">
        <v>50</v>
      </c>
      <c r="G72" s="8">
        <v>4</v>
      </c>
      <c r="H72" s="6" t="s">
        <v>166</v>
      </c>
      <c r="I72" s="7" t="s">
        <v>167</v>
      </c>
      <c r="J72" s="6" t="s">
        <v>516</v>
      </c>
    </row>
    <row r="73" spans="1:10" s="2" customFormat="1" ht="15" x14ac:dyDescent="0.25">
      <c r="A73" s="3">
        <v>65</v>
      </c>
      <c r="B73" s="4" t="s">
        <v>366</v>
      </c>
      <c r="C73" s="3" t="s">
        <v>367</v>
      </c>
      <c r="D73" s="3" t="s">
        <v>368</v>
      </c>
      <c r="E73" s="3" t="s">
        <v>214</v>
      </c>
      <c r="F73" s="3" t="s">
        <v>214</v>
      </c>
      <c r="G73" s="5">
        <v>1</v>
      </c>
      <c r="H73" s="3" t="s">
        <v>369</v>
      </c>
      <c r="I73" s="4" t="s">
        <v>370</v>
      </c>
      <c r="J73" s="3" t="s">
        <v>552</v>
      </c>
    </row>
    <row r="74" spans="1:10" s="2" customFormat="1" ht="15" x14ac:dyDescent="0.25">
      <c r="A74" s="6">
        <v>66</v>
      </c>
      <c r="B74" s="7" t="s">
        <v>553</v>
      </c>
      <c r="C74" s="6" t="s">
        <v>554</v>
      </c>
      <c r="D74" s="6" t="s">
        <v>555</v>
      </c>
      <c r="E74" s="6" t="s">
        <v>457</v>
      </c>
      <c r="F74" s="6" t="s">
        <v>457</v>
      </c>
      <c r="G74" s="8">
        <v>1</v>
      </c>
      <c r="H74" s="6" t="s">
        <v>166</v>
      </c>
      <c r="I74" s="7" t="s">
        <v>167</v>
      </c>
      <c r="J74" s="6" t="s">
        <v>465</v>
      </c>
    </row>
    <row r="75" spans="1:10" s="2" customFormat="1" ht="15" x14ac:dyDescent="0.25">
      <c r="A75" s="3">
        <v>67</v>
      </c>
      <c r="B75" s="4" t="s">
        <v>373</v>
      </c>
      <c r="C75" s="3" t="s">
        <v>374</v>
      </c>
      <c r="D75" s="3" t="s">
        <v>375</v>
      </c>
      <c r="E75" s="3" t="s">
        <v>81</v>
      </c>
      <c r="F75" s="3" t="s">
        <v>81</v>
      </c>
      <c r="G75" s="5">
        <v>1</v>
      </c>
      <c r="H75" s="3" t="s">
        <v>92</v>
      </c>
      <c r="I75" s="4" t="s">
        <v>93</v>
      </c>
      <c r="J75" s="3" t="s">
        <v>465</v>
      </c>
    </row>
    <row r="76" spans="1:10" s="2" customFormat="1" ht="15" x14ac:dyDescent="0.25">
      <c r="A76" s="6">
        <v>68</v>
      </c>
      <c r="B76" s="7" t="s">
        <v>384</v>
      </c>
      <c r="C76" s="6" t="s">
        <v>385</v>
      </c>
      <c r="D76" s="6" t="s">
        <v>380</v>
      </c>
      <c r="E76" s="6" t="s">
        <v>214</v>
      </c>
      <c r="F76" s="6" t="s">
        <v>214</v>
      </c>
      <c r="G76" s="8">
        <v>1</v>
      </c>
      <c r="H76" s="6" t="s">
        <v>386</v>
      </c>
      <c r="I76" s="7" t="s">
        <v>387</v>
      </c>
      <c r="J76" s="6" t="s">
        <v>465</v>
      </c>
    </row>
    <row r="77" spans="1:10" s="2" customFormat="1" ht="15" x14ac:dyDescent="0.25">
      <c r="A77" s="3">
        <v>69</v>
      </c>
      <c r="B77" s="4" t="s">
        <v>389</v>
      </c>
      <c r="C77" s="3" t="s">
        <v>390</v>
      </c>
      <c r="D77" s="3" t="s">
        <v>380</v>
      </c>
      <c r="E77" s="3" t="s">
        <v>81</v>
      </c>
      <c r="F77" s="3" t="s">
        <v>81</v>
      </c>
      <c r="G77" s="5">
        <v>1</v>
      </c>
      <c r="H77" s="3" t="s">
        <v>386</v>
      </c>
      <c r="I77" s="4" t="s">
        <v>387</v>
      </c>
      <c r="J77" s="3" t="s">
        <v>465</v>
      </c>
    </row>
    <row r="78" spans="1:10" s="2" customFormat="1" ht="15" x14ac:dyDescent="0.25">
      <c r="A78" s="6">
        <v>70</v>
      </c>
      <c r="B78" s="7" t="s">
        <v>392</v>
      </c>
      <c r="C78" s="6" t="s">
        <v>393</v>
      </c>
      <c r="D78" s="6" t="s">
        <v>394</v>
      </c>
      <c r="E78" s="6" t="s">
        <v>457</v>
      </c>
      <c r="F78" s="6" t="s">
        <v>457</v>
      </c>
      <c r="G78" s="8">
        <v>1</v>
      </c>
      <c r="H78" s="6" t="s">
        <v>556</v>
      </c>
      <c r="I78" s="7" t="s">
        <v>557</v>
      </c>
      <c r="J78" s="6" t="s">
        <v>558</v>
      </c>
    </row>
    <row r="79" spans="1:10" s="2" customFormat="1" ht="15" x14ac:dyDescent="0.25">
      <c r="A79" s="3">
        <v>71</v>
      </c>
      <c r="B79" s="4" t="s">
        <v>402</v>
      </c>
      <c r="C79" s="3" t="s">
        <v>403</v>
      </c>
      <c r="D79" s="3" t="s">
        <v>404</v>
      </c>
      <c r="E79" s="3" t="s">
        <v>457</v>
      </c>
      <c r="F79" s="3" t="s">
        <v>457</v>
      </c>
      <c r="G79" s="5">
        <v>1</v>
      </c>
      <c r="H79" s="3" t="s">
        <v>405</v>
      </c>
      <c r="I79" s="4" t="s">
        <v>406</v>
      </c>
      <c r="J79" s="3" t="s">
        <v>465</v>
      </c>
    </row>
    <row r="80" spans="1:10" s="2" customFormat="1" ht="15" x14ac:dyDescent="0.25">
      <c r="A80" s="6">
        <v>72</v>
      </c>
      <c r="B80" s="7" t="s">
        <v>407</v>
      </c>
      <c r="C80" s="6" t="s">
        <v>408</v>
      </c>
      <c r="D80" s="6" t="s">
        <v>409</v>
      </c>
      <c r="E80" s="6" t="s">
        <v>457</v>
      </c>
      <c r="F80" s="6" t="s">
        <v>457</v>
      </c>
      <c r="G80" s="8">
        <v>1</v>
      </c>
      <c r="H80" s="6" t="s">
        <v>559</v>
      </c>
      <c r="I80" s="7" t="s">
        <v>560</v>
      </c>
      <c r="J80" s="6" t="s">
        <v>465</v>
      </c>
    </row>
    <row r="81" spans="1:10" s="2" customFormat="1" ht="15" x14ac:dyDescent="0.25">
      <c r="A81" s="3">
        <v>73</v>
      </c>
      <c r="B81" s="4" t="s">
        <v>410</v>
      </c>
      <c r="C81" s="3" t="s">
        <v>411</v>
      </c>
      <c r="D81" s="3" t="s">
        <v>412</v>
      </c>
      <c r="E81" s="3" t="s">
        <v>81</v>
      </c>
      <c r="F81" s="3" t="s">
        <v>81</v>
      </c>
      <c r="G81" s="5">
        <v>1</v>
      </c>
      <c r="H81" s="3" t="s">
        <v>561</v>
      </c>
      <c r="I81" s="4" t="s">
        <v>562</v>
      </c>
      <c r="J81" s="3" t="s">
        <v>465</v>
      </c>
    </row>
    <row r="82" spans="1:10" ht="15" x14ac:dyDescent="0.25">
      <c r="A82" s="46" t="s">
        <v>413</v>
      </c>
      <c r="B82" s="46"/>
      <c r="C82" s="46"/>
      <c r="D82" s="46"/>
      <c r="E82" s="46"/>
      <c r="F82" s="46"/>
      <c r="G82" s="9">
        <v>165</v>
      </c>
      <c r="H82" s="10"/>
      <c r="I82" s="10"/>
      <c r="J82" s="10"/>
    </row>
  </sheetData>
  <mergeCells count="8">
    <mergeCell ref="A6:J6"/>
    <mergeCell ref="A7:J7"/>
    <mergeCell ref="A82:F82"/>
    <mergeCell ref="A1:J1"/>
    <mergeCell ref="A2:J2"/>
    <mergeCell ref="A3:J3"/>
    <mergeCell ref="A4:J4"/>
    <mergeCell ref="A5:J5"/>
  </mergeCells>
  <printOptions horizontalCentered="1"/>
  <pageMargins left="0.4" right="0.4" top="0.45" bottom="0.45" header="0.2" footer="0.2"/>
  <pageSetup paperSize="9" fitToHeight="0" orientation="landscape"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17"/>
  <sheetViews>
    <sheetView workbookViewId="0">
      <pane ySplit="8" topLeftCell="A9" activePane="bottomLeft" state="frozen"/>
      <selection pane="bottomLeft" sqref="A1:J1"/>
    </sheetView>
  </sheetViews>
  <sheetFormatPr defaultRowHeight="18" customHeight="1" x14ac:dyDescent="0.25"/>
  <cols>
    <col min="1" max="1" width="6" customWidth="1"/>
    <col min="2" max="2" width="11" customWidth="1"/>
    <col min="3" max="3" width="22" customWidth="1"/>
    <col min="4" max="4" width="26" customWidth="1"/>
    <col min="5" max="6" width="13" customWidth="1"/>
    <col min="7" max="7" width="12" customWidth="1"/>
    <col min="8" max="8" width="22" customWidth="1"/>
    <col min="9" max="9" width="15" customWidth="1"/>
    <col min="10" max="10" width="60" customWidth="1"/>
  </cols>
  <sheetData>
    <row r="1" spans="1:10" ht="26.1" customHeight="1" x14ac:dyDescent="0.25">
      <c r="A1" s="47" t="s">
        <v>0</v>
      </c>
      <c r="B1" s="47"/>
      <c r="C1" s="47"/>
      <c r="D1" s="47"/>
      <c r="E1" s="47"/>
      <c r="F1" s="47"/>
      <c r="G1" s="47"/>
      <c r="H1" s="47"/>
      <c r="I1" s="47"/>
      <c r="J1" s="47"/>
    </row>
    <row r="2" spans="1:10" ht="20.100000000000001" customHeight="1" x14ac:dyDescent="0.25">
      <c r="A2" s="48" t="s">
        <v>1</v>
      </c>
      <c r="B2" s="48"/>
      <c r="C2" s="48"/>
      <c r="D2" s="48"/>
      <c r="E2" s="48"/>
      <c r="F2" s="48"/>
      <c r="G2" s="48"/>
      <c r="H2" s="48"/>
      <c r="I2" s="48"/>
      <c r="J2" s="48"/>
    </row>
    <row r="3" spans="1:10" ht="20.100000000000001" customHeight="1" x14ac:dyDescent="0.25">
      <c r="A3" s="49" t="s">
        <v>414</v>
      </c>
      <c r="B3" s="49"/>
      <c r="C3" s="49"/>
      <c r="D3" s="49"/>
      <c r="E3" s="49"/>
      <c r="F3" s="49"/>
      <c r="G3" s="49"/>
      <c r="H3" s="49"/>
      <c r="I3" s="49"/>
      <c r="J3" s="49"/>
    </row>
    <row r="4" spans="1:10" ht="18" customHeight="1" x14ac:dyDescent="0.25">
      <c r="A4" s="44" t="s">
        <v>3</v>
      </c>
      <c r="B4" s="44"/>
      <c r="C4" s="44"/>
      <c r="D4" s="44"/>
      <c r="E4" s="44"/>
      <c r="F4" s="44"/>
      <c r="G4" s="44"/>
      <c r="H4" s="44"/>
      <c r="I4" s="44"/>
      <c r="J4" s="44"/>
    </row>
    <row r="5" spans="1:10" ht="33.950000000000003" customHeight="1" x14ac:dyDescent="0.25">
      <c r="A5" s="44" t="s">
        <v>4</v>
      </c>
      <c r="B5" s="44"/>
      <c r="C5" s="44"/>
      <c r="D5" s="44"/>
      <c r="E5" s="44"/>
      <c r="F5" s="44"/>
      <c r="G5" s="44"/>
      <c r="H5" s="44"/>
      <c r="I5" s="44"/>
      <c r="J5" s="44"/>
    </row>
    <row r="6" spans="1:10" ht="18" customHeight="1" x14ac:dyDescent="0.25">
      <c r="A6" s="44" t="s">
        <v>5</v>
      </c>
      <c r="B6" s="44"/>
      <c r="C6" s="44"/>
      <c r="D6" s="44"/>
      <c r="E6" s="44"/>
      <c r="F6" s="44"/>
      <c r="G6" s="44"/>
      <c r="H6" s="44"/>
      <c r="I6" s="44"/>
      <c r="J6" s="44"/>
    </row>
    <row r="7" spans="1:10" ht="21.95" customHeight="1" x14ac:dyDescent="0.25">
      <c r="A7" s="50" t="s">
        <v>563</v>
      </c>
      <c r="B7" s="50"/>
      <c r="C7" s="50"/>
      <c r="D7" s="50"/>
      <c r="E7" s="50"/>
      <c r="F7" s="50"/>
      <c r="G7" s="50"/>
      <c r="H7" s="50"/>
      <c r="I7" s="50"/>
      <c r="J7" s="50"/>
    </row>
    <row r="8" spans="1:10" ht="21.95" customHeight="1" x14ac:dyDescent="0.25">
      <c r="A8" s="1" t="s">
        <v>7</v>
      </c>
      <c r="B8" s="1" t="s">
        <v>8</v>
      </c>
      <c r="C8" s="1" t="s">
        <v>9</v>
      </c>
      <c r="D8" s="1" t="s">
        <v>10</v>
      </c>
      <c r="E8" s="1" t="s">
        <v>11</v>
      </c>
      <c r="F8" s="1" t="s">
        <v>12</v>
      </c>
      <c r="G8" s="1" t="s">
        <v>13</v>
      </c>
      <c r="H8" s="1" t="s">
        <v>14</v>
      </c>
      <c r="I8" s="1" t="s">
        <v>15</v>
      </c>
      <c r="J8" s="1" t="s">
        <v>16</v>
      </c>
    </row>
    <row r="9" spans="1:10" s="2" customFormat="1" ht="15" x14ac:dyDescent="0.25">
      <c r="A9" s="3">
        <v>1</v>
      </c>
      <c r="B9" s="4" t="s">
        <v>416</v>
      </c>
      <c r="C9" s="3" t="s">
        <v>417</v>
      </c>
      <c r="D9" s="3" t="s">
        <v>418</v>
      </c>
      <c r="E9" s="3" t="s">
        <v>33</v>
      </c>
      <c r="F9" s="3" t="s">
        <v>33</v>
      </c>
      <c r="G9" s="5">
        <v>1</v>
      </c>
      <c r="H9" s="3" t="s">
        <v>429</v>
      </c>
      <c r="I9" s="4" t="s">
        <v>430</v>
      </c>
      <c r="J9" s="3" t="s">
        <v>465</v>
      </c>
    </row>
    <row r="10" spans="1:10" s="2" customFormat="1" ht="15" x14ac:dyDescent="0.25">
      <c r="A10" s="6">
        <v>2</v>
      </c>
      <c r="B10" s="7" t="s">
        <v>421</v>
      </c>
      <c r="C10" s="6" t="s">
        <v>422</v>
      </c>
      <c r="D10" s="6" t="s">
        <v>423</v>
      </c>
      <c r="E10" s="6" t="s">
        <v>44</v>
      </c>
      <c r="F10" s="6" t="s">
        <v>44</v>
      </c>
      <c r="G10" s="8">
        <v>1</v>
      </c>
      <c r="H10" s="6" t="s">
        <v>424</v>
      </c>
      <c r="I10" s="7" t="s">
        <v>425</v>
      </c>
      <c r="J10" s="6" t="s">
        <v>564</v>
      </c>
    </row>
    <row r="11" spans="1:10" s="2" customFormat="1" ht="15" x14ac:dyDescent="0.25">
      <c r="A11" s="3">
        <v>3</v>
      </c>
      <c r="B11" s="4" t="s">
        <v>426</v>
      </c>
      <c r="C11" s="3" t="s">
        <v>427</v>
      </c>
      <c r="D11" s="3" t="s">
        <v>428</v>
      </c>
      <c r="E11" s="3" t="s">
        <v>217</v>
      </c>
      <c r="F11" s="3" t="s">
        <v>217</v>
      </c>
      <c r="G11" s="5">
        <v>1</v>
      </c>
      <c r="H11" s="3" t="s">
        <v>429</v>
      </c>
      <c r="I11" s="4" t="s">
        <v>430</v>
      </c>
      <c r="J11" s="3" t="s">
        <v>465</v>
      </c>
    </row>
    <row r="12" spans="1:10" s="2" customFormat="1" ht="15" x14ac:dyDescent="0.25">
      <c r="A12" s="6">
        <v>4</v>
      </c>
      <c r="B12" s="7" t="s">
        <v>432</v>
      </c>
      <c r="C12" s="6" t="s">
        <v>433</v>
      </c>
      <c r="D12" s="6" t="s">
        <v>428</v>
      </c>
      <c r="E12" s="6" t="s">
        <v>68</v>
      </c>
      <c r="F12" s="6" t="s">
        <v>68</v>
      </c>
      <c r="G12" s="8">
        <v>1</v>
      </c>
      <c r="H12" s="6" t="s">
        <v>419</v>
      </c>
      <c r="I12" s="7" t="s">
        <v>420</v>
      </c>
      <c r="J12" s="6" t="s">
        <v>465</v>
      </c>
    </row>
    <row r="13" spans="1:10" s="2" customFormat="1" ht="15" x14ac:dyDescent="0.25">
      <c r="A13" s="3">
        <v>5</v>
      </c>
      <c r="B13" s="4" t="s">
        <v>437</v>
      </c>
      <c r="C13" s="3" t="s">
        <v>438</v>
      </c>
      <c r="D13" s="3" t="s">
        <v>439</v>
      </c>
      <c r="E13" s="3" t="s">
        <v>56</v>
      </c>
      <c r="F13" s="3" t="s">
        <v>56</v>
      </c>
      <c r="G13" s="5">
        <v>1</v>
      </c>
      <c r="H13" s="3" t="s">
        <v>419</v>
      </c>
      <c r="I13" s="4" t="s">
        <v>420</v>
      </c>
      <c r="J13" s="3" t="s">
        <v>565</v>
      </c>
    </row>
    <row r="14" spans="1:10" s="2" customFormat="1" ht="15" x14ac:dyDescent="0.25">
      <c r="A14" s="6">
        <v>6</v>
      </c>
      <c r="B14" s="7" t="s">
        <v>566</v>
      </c>
      <c r="C14" s="6" t="s">
        <v>567</v>
      </c>
      <c r="D14" s="6" t="s">
        <v>446</v>
      </c>
      <c r="E14" s="6" t="s">
        <v>217</v>
      </c>
      <c r="F14" s="6" t="s">
        <v>217</v>
      </c>
      <c r="G14" s="8">
        <v>1</v>
      </c>
      <c r="H14" s="6" t="s">
        <v>419</v>
      </c>
      <c r="I14" s="7" t="s">
        <v>420</v>
      </c>
      <c r="J14" s="6" t="s">
        <v>568</v>
      </c>
    </row>
    <row r="15" spans="1:10" s="2" customFormat="1" ht="15" x14ac:dyDescent="0.25">
      <c r="A15" s="3">
        <v>7</v>
      </c>
      <c r="B15" s="4" t="s">
        <v>444</v>
      </c>
      <c r="C15" s="3" t="s">
        <v>445</v>
      </c>
      <c r="D15" s="3" t="s">
        <v>446</v>
      </c>
      <c r="E15" s="3" t="s">
        <v>33</v>
      </c>
      <c r="F15" s="3" t="s">
        <v>33</v>
      </c>
      <c r="G15" s="5">
        <v>1</v>
      </c>
      <c r="H15" s="3" t="s">
        <v>419</v>
      </c>
      <c r="I15" s="4" t="s">
        <v>420</v>
      </c>
      <c r="J15" s="3" t="s">
        <v>569</v>
      </c>
    </row>
    <row r="16" spans="1:10" s="2" customFormat="1" ht="15" x14ac:dyDescent="0.25">
      <c r="A16" s="6">
        <v>8</v>
      </c>
      <c r="B16" s="7" t="s">
        <v>570</v>
      </c>
      <c r="C16" s="6" t="s">
        <v>571</v>
      </c>
      <c r="D16" s="6" t="s">
        <v>451</v>
      </c>
      <c r="E16" s="6" t="s">
        <v>56</v>
      </c>
      <c r="F16" s="6" t="s">
        <v>56</v>
      </c>
      <c r="G16" s="8">
        <v>1</v>
      </c>
      <c r="H16" s="6" t="s">
        <v>429</v>
      </c>
      <c r="I16" s="7" t="s">
        <v>430</v>
      </c>
      <c r="J16" s="6" t="s">
        <v>465</v>
      </c>
    </row>
    <row r="17" spans="1:10" ht="15" x14ac:dyDescent="0.25">
      <c r="A17" s="46" t="s">
        <v>453</v>
      </c>
      <c r="B17" s="46"/>
      <c r="C17" s="46"/>
      <c r="D17" s="46"/>
      <c r="E17" s="46"/>
      <c r="F17" s="46"/>
      <c r="G17" s="9">
        <v>8</v>
      </c>
      <c r="H17" s="10"/>
      <c r="I17" s="10"/>
      <c r="J17" s="10"/>
    </row>
  </sheetData>
  <mergeCells count="8">
    <mergeCell ref="A6:J6"/>
    <mergeCell ref="A7:J7"/>
    <mergeCell ref="A17:F17"/>
    <mergeCell ref="A1:J1"/>
    <mergeCell ref="A2:J2"/>
    <mergeCell ref="A3:J3"/>
    <mergeCell ref="A4:J4"/>
    <mergeCell ref="A5:J5"/>
  </mergeCells>
  <printOptions horizontalCentered="1"/>
  <pageMargins left="0.4" right="0.4" top="0.45" bottom="0.45" header="0.2" footer="0.2"/>
  <pageSetup paperSize="9" fitToHeight="0" orientation="landscape"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pageSetUpPr fitToPage="1"/>
  </sheetPr>
  <dimension ref="A1:J80"/>
  <sheetViews>
    <sheetView workbookViewId="0">
      <pane ySplit="8" topLeftCell="A9" activePane="bottomLeft" state="frozen"/>
      <selection pane="bottomLeft" activeCell="J86" sqref="J86"/>
    </sheetView>
  </sheetViews>
  <sheetFormatPr defaultRowHeight="18" customHeight="1" x14ac:dyDescent="0.25"/>
  <cols>
    <col min="1" max="1" width="6" customWidth="1"/>
    <col min="2" max="2" width="11" customWidth="1"/>
    <col min="3" max="3" width="25" customWidth="1"/>
    <col min="4" max="4" width="28" customWidth="1"/>
    <col min="5" max="6" width="13" customWidth="1"/>
    <col min="7" max="7" width="12" customWidth="1"/>
    <col min="8" max="8" width="22" customWidth="1"/>
    <col min="9" max="9" width="15" customWidth="1"/>
    <col min="10" max="10" width="60" customWidth="1"/>
  </cols>
  <sheetData>
    <row r="1" spans="1:10" ht="26.1" customHeight="1" x14ac:dyDescent="0.25">
      <c r="A1" s="47" t="s">
        <v>0</v>
      </c>
      <c r="B1" s="47"/>
      <c r="C1" s="47"/>
      <c r="D1" s="47"/>
      <c r="E1" s="47"/>
      <c r="F1" s="47"/>
      <c r="G1" s="47"/>
      <c r="H1" s="47"/>
      <c r="I1" s="47"/>
      <c r="J1" s="47"/>
    </row>
    <row r="2" spans="1:10" ht="20.100000000000001" customHeight="1" x14ac:dyDescent="0.25">
      <c r="A2" s="48" t="s">
        <v>1</v>
      </c>
      <c r="B2" s="48"/>
      <c r="C2" s="48"/>
      <c r="D2" s="48"/>
      <c r="E2" s="48"/>
      <c r="F2" s="48"/>
      <c r="G2" s="48"/>
      <c r="H2" s="48"/>
      <c r="I2" s="48"/>
      <c r="J2" s="48"/>
    </row>
    <row r="3" spans="1:10" ht="20.100000000000001" customHeight="1" x14ac:dyDescent="0.25">
      <c r="A3" s="49" t="s">
        <v>2</v>
      </c>
      <c r="B3" s="49"/>
      <c r="C3" s="49"/>
      <c r="D3" s="49"/>
      <c r="E3" s="49"/>
      <c r="F3" s="49"/>
      <c r="G3" s="49"/>
      <c r="H3" s="49"/>
      <c r="I3" s="49"/>
      <c r="J3" s="49"/>
    </row>
    <row r="4" spans="1:10" ht="18" customHeight="1" x14ac:dyDescent="0.25">
      <c r="A4" s="44" t="s">
        <v>3</v>
      </c>
      <c r="B4" s="44"/>
      <c r="C4" s="44"/>
      <c r="D4" s="44"/>
      <c r="E4" s="44"/>
      <c r="F4" s="44"/>
      <c r="G4" s="44"/>
      <c r="H4" s="44"/>
      <c r="I4" s="44"/>
      <c r="J4" s="44"/>
    </row>
    <row r="5" spans="1:10" ht="13.5" customHeight="1" x14ac:dyDescent="0.25">
      <c r="A5" s="51" t="s">
        <v>4</v>
      </c>
      <c r="B5" s="51"/>
      <c r="C5" s="51"/>
      <c r="D5" s="51"/>
      <c r="E5" s="51"/>
      <c r="F5" s="51"/>
      <c r="G5" s="51"/>
      <c r="H5" s="51"/>
      <c r="I5" s="51"/>
      <c r="J5" s="51"/>
    </row>
    <row r="6" spans="1:10" ht="18" customHeight="1" x14ac:dyDescent="0.25">
      <c r="A6" s="44" t="s">
        <v>5</v>
      </c>
      <c r="B6" s="44"/>
      <c r="C6" s="44"/>
      <c r="D6" s="44"/>
      <c r="E6" s="44"/>
      <c r="F6" s="44"/>
      <c r="G6" s="44"/>
      <c r="H6" s="44"/>
      <c r="I6" s="44"/>
      <c r="J6" s="44"/>
    </row>
    <row r="7" spans="1:10" ht="21.95" customHeight="1" x14ac:dyDescent="0.25">
      <c r="A7" s="45" t="s">
        <v>572</v>
      </c>
      <c r="B7" s="45"/>
      <c r="C7" s="45"/>
      <c r="D7" s="45"/>
      <c r="E7" s="45"/>
      <c r="F7" s="45"/>
      <c r="G7" s="45"/>
      <c r="H7" s="45"/>
      <c r="I7" s="45"/>
      <c r="J7" s="45"/>
    </row>
    <row r="8" spans="1:10" ht="30" x14ac:dyDescent="0.25">
      <c r="A8" s="1" t="s">
        <v>7</v>
      </c>
      <c r="B8" s="1" t="s">
        <v>8</v>
      </c>
      <c r="C8" s="1" t="s">
        <v>9</v>
      </c>
      <c r="D8" s="1" t="s">
        <v>10</v>
      </c>
      <c r="E8" s="1" t="s">
        <v>11</v>
      </c>
      <c r="F8" s="1" t="s">
        <v>12</v>
      </c>
      <c r="G8" s="1" t="s">
        <v>673</v>
      </c>
      <c r="H8" s="1" t="s">
        <v>14</v>
      </c>
      <c r="I8" s="1" t="s">
        <v>15</v>
      </c>
      <c r="J8" s="1" t="s">
        <v>16</v>
      </c>
    </row>
    <row r="9" spans="1:10" s="2" customFormat="1" ht="15" hidden="1" x14ac:dyDescent="0.25">
      <c r="A9" s="11">
        <v>1</v>
      </c>
      <c r="B9" s="4" t="s">
        <v>573</v>
      </c>
      <c r="C9" s="3" t="s">
        <v>574</v>
      </c>
      <c r="D9" s="3" t="s">
        <v>19</v>
      </c>
      <c r="E9" s="11" t="s">
        <v>105</v>
      </c>
      <c r="F9" s="11" t="s">
        <v>217</v>
      </c>
      <c r="G9" s="11">
        <v>12</v>
      </c>
      <c r="H9" s="3" t="s">
        <v>575</v>
      </c>
      <c r="I9" s="14" t="s">
        <v>576</v>
      </c>
      <c r="J9" s="3" t="s">
        <v>577</v>
      </c>
    </row>
    <row r="10" spans="1:10" s="2" customFormat="1" ht="15" hidden="1" x14ac:dyDescent="0.25">
      <c r="A10" s="12">
        <v>2</v>
      </c>
      <c r="B10" s="7" t="s">
        <v>573</v>
      </c>
      <c r="C10" s="6" t="s">
        <v>574</v>
      </c>
      <c r="D10" s="6" t="s">
        <v>19</v>
      </c>
      <c r="E10" s="12" t="s">
        <v>20</v>
      </c>
      <c r="F10" s="12" t="s">
        <v>578</v>
      </c>
      <c r="G10" s="12">
        <v>12</v>
      </c>
      <c r="H10" s="6" t="s">
        <v>575</v>
      </c>
      <c r="I10" s="15" t="s">
        <v>576</v>
      </c>
      <c r="J10" s="6" t="s">
        <v>579</v>
      </c>
    </row>
    <row r="11" spans="1:10" s="2" customFormat="1" ht="15" x14ac:dyDescent="0.25">
      <c r="A11" s="11">
        <v>3</v>
      </c>
      <c r="B11" s="4" t="s">
        <v>573</v>
      </c>
      <c r="C11" s="3" t="s">
        <v>574</v>
      </c>
      <c r="D11" s="3" t="s">
        <v>19</v>
      </c>
      <c r="E11" s="11" t="s">
        <v>111</v>
      </c>
      <c r="F11" s="11" t="s">
        <v>50</v>
      </c>
      <c r="G11" s="11">
        <v>4</v>
      </c>
      <c r="H11" s="3" t="s">
        <v>575</v>
      </c>
      <c r="I11" s="14" t="s">
        <v>576</v>
      </c>
      <c r="J11" s="3" t="s">
        <v>580</v>
      </c>
    </row>
    <row r="12" spans="1:10" s="2" customFormat="1" ht="15" hidden="1" x14ac:dyDescent="0.25">
      <c r="A12" s="12">
        <v>4</v>
      </c>
      <c r="B12" s="7" t="s">
        <v>581</v>
      </c>
      <c r="C12" s="6" t="s">
        <v>582</v>
      </c>
      <c r="D12" s="6" t="s">
        <v>19</v>
      </c>
      <c r="E12" s="12" t="s">
        <v>105</v>
      </c>
      <c r="F12" s="12" t="s">
        <v>180</v>
      </c>
      <c r="G12" s="12">
        <v>5</v>
      </c>
      <c r="H12" s="6" t="s">
        <v>583</v>
      </c>
      <c r="I12" s="15" t="s">
        <v>584</v>
      </c>
      <c r="J12" s="6" t="s">
        <v>585</v>
      </c>
    </row>
    <row r="13" spans="1:10" s="2" customFormat="1" ht="15" hidden="1" x14ac:dyDescent="0.25">
      <c r="A13" s="11">
        <v>5</v>
      </c>
      <c r="B13" s="4" t="s">
        <v>581</v>
      </c>
      <c r="C13" s="3" t="s">
        <v>582</v>
      </c>
      <c r="D13" s="3" t="s">
        <v>19</v>
      </c>
      <c r="E13" s="11" t="s">
        <v>194</v>
      </c>
      <c r="F13" s="11" t="s">
        <v>50</v>
      </c>
      <c r="G13" s="11">
        <v>23</v>
      </c>
      <c r="H13" s="3" t="s">
        <v>583</v>
      </c>
      <c r="I13" s="14" t="s">
        <v>584</v>
      </c>
      <c r="J13" s="3" t="s">
        <v>585</v>
      </c>
    </row>
    <row r="14" spans="1:10" s="2" customFormat="1" ht="15" hidden="1" x14ac:dyDescent="0.25">
      <c r="A14" s="12">
        <v>6</v>
      </c>
      <c r="B14" s="7" t="s">
        <v>462</v>
      </c>
      <c r="C14" s="6" t="s">
        <v>463</v>
      </c>
      <c r="D14" s="6" t="s">
        <v>464</v>
      </c>
      <c r="E14" s="12" t="s">
        <v>99</v>
      </c>
      <c r="F14" s="12" t="s">
        <v>99</v>
      </c>
      <c r="G14" s="12">
        <v>1</v>
      </c>
      <c r="H14" s="6" t="s">
        <v>148</v>
      </c>
      <c r="I14" s="15" t="s">
        <v>149</v>
      </c>
      <c r="J14" s="6" t="s">
        <v>30</v>
      </c>
    </row>
    <row r="15" spans="1:10" s="2" customFormat="1" ht="15" hidden="1" x14ac:dyDescent="0.25">
      <c r="A15" s="11">
        <v>7</v>
      </c>
      <c r="B15" s="4" t="s">
        <v>462</v>
      </c>
      <c r="C15" s="3" t="s">
        <v>463</v>
      </c>
      <c r="D15" s="3" t="s">
        <v>464</v>
      </c>
      <c r="E15" s="11" t="s">
        <v>33</v>
      </c>
      <c r="F15" s="11" t="s">
        <v>33</v>
      </c>
      <c r="G15" s="11">
        <v>1</v>
      </c>
      <c r="H15" s="3" t="s">
        <v>330</v>
      </c>
      <c r="I15" s="14" t="s">
        <v>331</v>
      </c>
      <c r="J15" s="3" t="s">
        <v>34</v>
      </c>
    </row>
    <row r="16" spans="1:10" s="2" customFormat="1" ht="15" hidden="1" x14ac:dyDescent="0.25">
      <c r="A16" s="12">
        <v>8</v>
      </c>
      <c r="B16" s="7" t="s">
        <v>25</v>
      </c>
      <c r="C16" s="6" t="s">
        <v>26</v>
      </c>
      <c r="D16" s="6" t="s">
        <v>27</v>
      </c>
      <c r="E16" s="12" t="s">
        <v>56</v>
      </c>
      <c r="F16" s="12" t="s">
        <v>57</v>
      </c>
      <c r="G16" s="12">
        <v>2</v>
      </c>
      <c r="H16" s="6" t="s">
        <v>22</v>
      </c>
      <c r="I16" s="15" t="s">
        <v>23</v>
      </c>
      <c r="J16" s="6" t="s">
        <v>30</v>
      </c>
    </row>
    <row r="17" spans="1:10" s="2" customFormat="1" ht="15" hidden="1" x14ac:dyDescent="0.25">
      <c r="A17" s="11">
        <v>9</v>
      </c>
      <c r="B17" s="4" t="s">
        <v>470</v>
      </c>
      <c r="C17" s="3" t="s">
        <v>471</v>
      </c>
      <c r="D17" s="3" t="s">
        <v>55</v>
      </c>
      <c r="E17" s="11" t="s">
        <v>105</v>
      </c>
      <c r="F17" s="11" t="s">
        <v>38</v>
      </c>
      <c r="G17" s="11">
        <v>13</v>
      </c>
      <c r="H17" s="3" t="s">
        <v>46</v>
      </c>
      <c r="I17" s="14" t="s">
        <v>47</v>
      </c>
      <c r="J17" s="3" t="s">
        <v>34</v>
      </c>
    </row>
    <row r="18" spans="1:10" s="2" customFormat="1" ht="15" hidden="1" x14ac:dyDescent="0.25">
      <c r="A18" s="12">
        <v>10</v>
      </c>
      <c r="B18" s="7" t="s">
        <v>470</v>
      </c>
      <c r="C18" s="6" t="s">
        <v>471</v>
      </c>
      <c r="D18" s="6" t="s">
        <v>55</v>
      </c>
      <c r="E18" s="12" t="s">
        <v>71</v>
      </c>
      <c r="F18" s="12" t="s">
        <v>71</v>
      </c>
      <c r="G18" s="12">
        <v>1</v>
      </c>
      <c r="H18" s="6" t="s">
        <v>46</v>
      </c>
      <c r="I18" s="15" t="s">
        <v>47</v>
      </c>
      <c r="J18" s="6" t="s">
        <v>586</v>
      </c>
    </row>
    <row r="19" spans="1:10" s="2" customFormat="1" ht="15" hidden="1" x14ac:dyDescent="0.25">
      <c r="A19" s="11">
        <v>11</v>
      </c>
      <c r="B19" s="4" t="s">
        <v>108</v>
      </c>
      <c r="C19" s="3" t="s">
        <v>109</v>
      </c>
      <c r="D19" s="3" t="s">
        <v>110</v>
      </c>
      <c r="E19" s="11" t="s">
        <v>105</v>
      </c>
      <c r="F19" s="11" t="s">
        <v>457</v>
      </c>
      <c r="G19" s="11">
        <v>2</v>
      </c>
      <c r="H19" s="3" t="s">
        <v>112</v>
      </c>
      <c r="I19" s="14" t="s">
        <v>113</v>
      </c>
      <c r="J19" s="3" t="s">
        <v>587</v>
      </c>
    </row>
    <row r="20" spans="1:10" s="2" customFormat="1" ht="15" hidden="1" x14ac:dyDescent="0.25">
      <c r="A20" s="12">
        <v>12</v>
      </c>
      <c r="B20" s="7" t="s">
        <v>108</v>
      </c>
      <c r="C20" s="6" t="s">
        <v>109</v>
      </c>
      <c r="D20" s="6" t="s">
        <v>110</v>
      </c>
      <c r="E20" s="12" t="s">
        <v>56</v>
      </c>
      <c r="F20" s="12" t="s">
        <v>64</v>
      </c>
      <c r="G20" s="11">
        <v>4</v>
      </c>
      <c r="H20" s="6" t="s">
        <v>112</v>
      </c>
      <c r="I20" s="15" t="s">
        <v>113</v>
      </c>
      <c r="J20" s="6" t="s">
        <v>588</v>
      </c>
    </row>
    <row r="21" spans="1:10" s="2" customFormat="1" ht="15" hidden="1" x14ac:dyDescent="0.25">
      <c r="A21" s="11">
        <v>13</v>
      </c>
      <c r="B21" s="4" t="s">
        <v>108</v>
      </c>
      <c r="C21" s="3" t="s">
        <v>109</v>
      </c>
      <c r="D21" s="3" t="s">
        <v>110</v>
      </c>
      <c r="E21" s="11" t="s">
        <v>38</v>
      </c>
      <c r="F21" s="11" t="s">
        <v>38</v>
      </c>
      <c r="G21" s="12">
        <v>1</v>
      </c>
      <c r="H21" s="3" t="s">
        <v>112</v>
      </c>
      <c r="I21" s="14" t="s">
        <v>113</v>
      </c>
      <c r="J21" s="3" t="s">
        <v>589</v>
      </c>
    </row>
    <row r="22" spans="1:10" s="2" customFormat="1" ht="15" hidden="1" x14ac:dyDescent="0.25">
      <c r="A22" s="12">
        <v>14</v>
      </c>
      <c r="B22" s="7" t="s">
        <v>108</v>
      </c>
      <c r="C22" s="6" t="s">
        <v>109</v>
      </c>
      <c r="D22" s="6" t="s">
        <v>110</v>
      </c>
      <c r="E22" s="12" t="s">
        <v>99</v>
      </c>
      <c r="F22" s="12" t="s">
        <v>45</v>
      </c>
      <c r="G22" s="11">
        <v>9</v>
      </c>
      <c r="H22" s="6" t="s">
        <v>112</v>
      </c>
      <c r="I22" s="15" t="s">
        <v>113</v>
      </c>
      <c r="J22" s="6" t="s">
        <v>590</v>
      </c>
    </row>
    <row r="23" spans="1:10" s="2" customFormat="1" ht="15" hidden="1" x14ac:dyDescent="0.25">
      <c r="A23" s="11">
        <v>15</v>
      </c>
      <c r="B23" s="4" t="s">
        <v>591</v>
      </c>
      <c r="C23" s="3" t="s">
        <v>592</v>
      </c>
      <c r="D23" s="3" t="s">
        <v>593</v>
      </c>
      <c r="E23" s="11" t="s">
        <v>20</v>
      </c>
      <c r="F23" s="11" t="s">
        <v>20</v>
      </c>
      <c r="G23" s="12">
        <v>1</v>
      </c>
      <c r="H23" s="3" t="s">
        <v>594</v>
      </c>
      <c r="I23" s="14" t="s">
        <v>595</v>
      </c>
      <c r="J23" s="3" t="s">
        <v>30</v>
      </c>
    </row>
    <row r="24" spans="1:10" s="2" customFormat="1" ht="15" hidden="1" x14ac:dyDescent="0.25">
      <c r="A24" s="12">
        <v>16</v>
      </c>
      <c r="B24" s="7" t="s">
        <v>591</v>
      </c>
      <c r="C24" s="6" t="s">
        <v>592</v>
      </c>
      <c r="D24" s="6" t="s">
        <v>593</v>
      </c>
      <c r="E24" s="12" t="s">
        <v>71</v>
      </c>
      <c r="F24" s="12" t="s">
        <v>71</v>
      </c>
      <c r="G24" s="11">
        <v>1</v>
      </c>
      <c r="H24" s="6" t="s">
        <v>594</v>
      </c>
      <c r="I24" s="15" t="s">
        <v>595</v>
      </c>
      <c r="J24" s="6" t="s">
        <v>30</v>
      </c>
    </row>
    <row r="25" spans="1:10" s="2" customFormat="1" ht="15" hidden="1" x14ac:dyDescent="0.25">
      <c r="A25" s="11">
        <v>17</v>
      </c>
      <c r="B25" s="4" t="s">
        <v>596</v>
      </c>
      <c r="C25" s="3" t="s">
        <v>597</v>
      </c>
      <c r="D25" s="3" t="s">
        <v>494</v>
      </c>
      <c r="E25" s="11" t="s">
        <v>81</v>
      </c>
      <c r="F25" s="11" t="s">
        <v>81</v>
      </c>
      <c r="G25" s="12">
        <v>1</v>
      </c>
      <c r="H25" s="3" t="s">
        <v>400</v>
      </c>
      <c r="I25" s="14" t="s">
        <v>401</v>
      </c>
      <c r="J25" s="3" t="s">
        <v>30</v>
      </c>
    </row>
    <row r="26" spans="1:10" s="2" customFormat="1" ht="15" hidden="1" x14ac:dyDescent="0.25">
      <c r="A26" s="12">
        <v>18</v>
      </c>
      <c r="B26" s="7" t="s">
        <v>495</v>
      </c>
      <c r="C26" s="6" t="s">
        <v>496</v>
      </c>
      <c r="D26" s="6" t="s">
        <v>497</v>
      </c>
      <c r="E26" s="12" t="s">
        <v>180</v>
      </c>
      <c r="F26" s="12" t="s">
        <v>64</v>
      </c>
      <c r="G26" s="11">
        <v>2</v>
      </c>
      <c r="H26" s="6" t="s">
        <v>405</v>
      </c>
      <c r="I26" s="15" t="s">
        <v>406</v>
      </c>
      <c r="J26" s="6" t="s">
        <v>34</v>
      </c>
    </row>
    <row r="27" spans="1:10" s="2" customFormat="1" ht="15" hidden="1" x14ac:dyDescent="0.25">
      <c r="A27" s="11">
        <v>19</v>
      </c>
      <c r="B27" s="4" t="s">
        <v>191</v>
      </c>
      <c r="C27" s="3" t="s">
        <v>192</v>
      </c>
      <c r="D27" s="3" t="s">
        <v>193</v>
      </c>
      <c r="E27" s="11" t="s">
        <v>98</v>
      </c>
      <c r="F27" s="11" t="s">
        <v>81</v>
      </c>
      <c r="G27" s="12">
        <v>3</v>
      </c>
      <c r="H27" s="3" t="s">
        <v>195</v>
      </c>
      <c r="I27" s="14" t="s">
        <v>196</v>
      </c>
      <c r="J27" s="3" t="s">
        <v>34</v>
      </c>
    </row>
    <row r="28" spans="1:10" s="2" customFormat="1" ht="15" hidden="1" x14ac:dyDescent="0.25">
      <c r="A28" s="12">
        <v>20</v>
      </c>
      <c r="B28" s="7" t="s">
        <v>498</v>
      </c>
      <c r="C28" s="6" t="s">
        <v>499</v>
      </c>
      <c r="D28" s="6" t="s">
        <v>500</v>
      </c>
      <c r="E28" s="12" t="s">
        <v>64</v>
      </c>
      <c r="F28" s="12" t="s">
        <v>64</v>
      </c>
      <c r="G28" s="11">
        <v>1</v>
      </c>
      <c r="H28" s="6" t="s">
        <v>138</v>
      </c>
      <c r="I28" s="15" t="s">
        <v>139</v>
      </c>
      <c r="J28" s="6" t="s">
        <v>114</v>
      </c>
    </row>
    <row r="29" spans="1:10" s="2" customFormat="1" ht="15" hidden="1" x14ac:dyDescent="0.25">
      <c r="A29" s="11">
        <v>21</v>
      </c>
      <c r="B29" s="4" t="s">
        <v>253</v>
      </c>
      <c r="C29" s="3" t="s">
        <v>254</v>
      </c>
      <c r="D29" s="3" t="s">
        <v>255</v>
      </c>
      <c r="E29" s="11" t="s">
        <v>50</v>
      </c>
      <c r="F29" s="11" t="s">
        <v>50</v>
      </c>
      <c r="G29" s="12">
        <v>1</v>
      </c>
      <c r="H29" s="3" t="s">
        <v>257</v>
      </c>
      <c r="I29" s="14" t="s">
        <v>258</v>
      </c>
      <c r="J29" s="3" t="s">
        <v>34</v>
      </c>
    </row>
    <row r="30" spans="1:10" s="2" customFormat="1" ht="15" hidden="1" x14ac:dyDescent="0.25">
      <c r="A30" s="12">
        <v>22</v>
      </c>
      <c r="B30" s="7" t="s">
        <v>259</v>
      </c>
      <c r="C30" s="6" t="s">
        <v>260</v>
      </c>
      <c r="D30" s="6" t="s">
        <v>261</v>
      </c>
      <c r="E30" s="12" t="s">
        <v>194</v>
      </c>
      <c r="F30" s="12" t="s">
        <v>33</v>
      </c>
      <c r="G30" s="11">
        <v>17</v>
      </c>
      <c r="H30" s="6" t="s">
        <v>166</v>
      </c>
      <c r="I30" s="15" t="s">
        <v>167</v>
      </c>
      <c r="J30" s="6" t="s">
        <v>598</v>
      </c>
    </row>
    <row r="31" spans="1:10" s="2" customFormat="1" ht="15" hidden="1" x14ac:dyDescent="0.25">
      <c r="A31" s="11">
        <v>23</v>
      </c>
      <c r="B31" s="4" t="s">
        <v>259</v>
      </c>
      <c r="C31" s="3" t="s">
        <v>260</v>
      </c>
      <c r="D31" s="3" t="s">
        <v>261</v>
      </c>
      <c r="E31" s="11" t="s">
        <v>45</v>
      </c>
      <c r="F31" s="11" t="s">
        <v>45</v>
      </c>
      <c r="G31" s="12">
        <v>1</v>
      </c>
      <c r="H31" s="3" t="s">
        <v>166</v>
      </c>
      <c r="I31" s="14" t="s">
        <v>167</v>
      </c>
      <c r="J31" s="3" t="s">
        <v>128</v>
      </c>
    </row>
    <row r="32" spans="1:10" s="2" customFormat="1" ht="15" hidden="1" x14ac:dyDescent="0.25">
      <c r="A32" s="12">
        <v>24</v>
      </c>
      <c r="B32" s="7" t="s">
        <v>599</v>
      </c>
      <c r="C32" s="6" t="s">
        <v>600</v>
      </c>
      <c r="D32" s="6" t="s">
        <v>261</v>
      </c>
      <c r="E32" s="12" t="s">
        <v>105</v>
      </c>
      <c r="F32" s="12" t="s">
        <v>49</v>
      </c>
      <c r="G32" s="11">
        <v>29</v>
      </c>
      <c r="H32" s="6" t="s">
        <v>601</v>
      </c>
      <c r="I32" s="15" t="s">
        <v>602</v>
      </c>
      <c r="J32" s="6" t="s">
        <v>603</v>
      </c>
    </row>
    <row r="33" spans="1:10" s="2" customFormat="1" ht="15" hidden="1" x14ac:dyDescent="0.25">
      <c r="A33" s="11">
        <v>25</v>
      </c>
      <c r="B33" s="4" t="s">
        <v>265</v>
      </c>
      <c r="C33" s="3" t="s">
        <v>266</v>
      </c>
      <c r="D33" s="3" t="s">
        <v>261</v>
      </c>
      <c r="E33" s="11" t="s">
        <v>71</v>
      </c>
      <c r="F33" s="11" t="s">
        <v>44</v>
      </c>
      <c r="G33" s="12">
        <v>2</v>
      </c>
      <c r="H33" s="3" t="s">
        <v>267</v>
      </c>
      <c r="I33" s="14" t="s">
        <v>268</v>
      </c>
      <c r="J33" s="3" t="s">
        <v>256</v>
      </c>
    </row>
    <row r="34" spans="1:10" s="2" customFormat="1" ht="15" x14ac:dyDescent="0.25">
      <c r="A34" s="12">
        <v>26</v>
      </c>
      <c r="B34" s="7" t="s">
        <v>513</v>
      </c>
      <c r="C34" s="6" t="s">
        <v>514</v>
      </c>
      <c r="D34" s="6" t="s">
        <v>515</v>
      </c>
      <c r="E34" s="12" t="s">
        <v>111</v>
      </c>
      <c r="F34" s="12" t="s">
        <v>50</v>
      </c>
      <c r="G34" s="11">
        <v>4</v>
      </c>
      <c r="H34" s="6" t="s">
        <v>249</v>
      </c>
      <c r="I34" s="15" t="s">
        <v>250</v>
      </c>
      <c r="J34" s="6" t="s">
        <v>677</v>
      </c>
    </row>
    <row r="35" spans="1:10" s="2" customFormat="1" ht="15" hidden="1" x14ac:dyDescent="0.25">
      <c r="A35" s="11">
        <v>27</v>
      </c>
      <c r="B35" s="4" t="s">
        <v>604</v>
      </c>
      <c r="C35" s="3" t="s">
        <v>605</v>
      </c>
      <c r="D35" s="3" t="s">
        <v>606</v>
      </c>
      <c r="E35" s="11" t="s">
        <v>457</v>
      </c>
      <c r="F35" s="11" t="s">
        <v>57</v>
      </c>
      <c r="G35" s="11">
        <v>3</v>
      </c>
      <c r="H35" s="3" t="s">
        <v>251</v>
      </c>
      <c r="I35" s="14" t="s">
        <v>252</v>
      </c>
      <c r="J35" s="3" t="s">
        <v>607</v>
      </c>
    </row>
    <row r="36" spans="1:10" s="2" customFormat="1" ht="15" hidden="1" x14ac:dyDescent="0.25">
      <c r="A36" s="12">
        <v>28</v>
      </c>
      <c r="B36" s="7" t="s">
        <v>278</v>
      </c>
      <c r="C36" s="6" t="s">
        <v>279</v>
      </c>
      <c r="D36" s="6" t="s">
        <v>280</v>
      </c>
      <c r="E36" s="12" t="s">
        <v>38</v>
      </c>
      <c r="F36" s="12" t="s">
        <v>38</v>
      </c>
      <c r="G36" s="12">
        <v>1</v>
      </c>
      <c r="H36" s="6" t="s">
        <v>281</v>
      </c>
      <c r="I36" s="15" t="s">
        <v>282</v>
      </c>
      <c r="J36" s="6" t="s">
        <v>256</v>
      </c>
    </row>
    <row r="37" spans="1:10" s="2" customFormat="1" ht="15" hidden="1" x14ac:dyDescent="0.25">
      <c r="A37" s="11">
        <v>29</v>
      </c>
      <c r="B37" s="4" t="s">
        <v>608</v>
      </c>
      <c r="C37" s="3" t="s">
        <v>609</v>
      </c>
      <c r="D37" s="3" t="s">
        <v>312</v>
      </c>
      <c r="E37" s="11" t="s">
        <v>457</v>
      </c>
      <c r="F37" s="11" t="s">
        <v>37</v>
      </c>
      <c r="G37" s="11">
        <v>9</v>
      </c>
      <c r="H37" s="3" t="s">
        <v>76</v>
      </c>
      <c r="I37" s="11" t="s">
        <v>76</v>
      </c>
      <c r="J37" s="3" t="s">
        <v>610</v>
      </c>
    </row>
    <row r="38" spans="1:10" s="2" customFormat="1" ht="15" hidden="1" x14ac:dyDescent="0.25">
      <c r="A38" s="12">
        <v>30</v>
      </c>
      <c r="B38" s="7" t="s">
        <v>608</v>
      </c>
      <c r="C38" s="6" t="s">
        <v>609</v>
      </c>
      <c r="D38" s="6" t="s">
        <v>312</v>
      </c>
      <c r="E38" s="12" t="s">
        <v>217</v>
      </c>
      <c r="F38" s="12" t="s">
        <v>50</v>
      </c>
      <c r="G38" s="12">
        <v>19</v>
      </c>
      <c r="H38" s="6" t="s">
        <v>76</v>
      </c>
      <c r="I38" s="12" t="s">
        <v>76</v>
      </c>
      <c r="J38" s="6" t="s">
        <v>611</v>
      </c>
    </row>
    <row r="39" spans="1:10" s="2" customFormat="1" ht="15" hidden="1" x14ac:dyDescent="0.25">
      <c r="A39" s="11">
        <v>31</v>
      </c>
      <c r="B39" s="4" t="s">
        <v>310</v>
      </c>
      <c r="C39" s="3" t="s">
        <v>311</v>
      </c>
      <c r="D39" s="3" t="s">
        <v>312</v>
      </c>
      <c r="E39" s="11" t="s">
        <v>214</v>
      </c>
      <c r="F39" s="11" t="s">
        <v>214</v>
      </c>
      <c r="G39" s="11">
        <v>1</v>
      </c>
      <c r="H39" s="3" t="s">
        <v>313</v>
      </c>
      <c r="I39" s="14" t="s">
        <v>314</v>
      </c>
      <c r="J39" s="3" t="s">
        <v>612</v>
      </c>
    </row>
    <row r="40" spans="1:10" s="2" customFormat="1" ht="15" hidden="1" x14ac:dyDescent="0.25">
      <c r="A40" s="12">
        <v>32</v>
      </c>
      <c r="B40" s="7" t="s">
        <v>613</v>
      </c>
      <c r="C40" s="6" t="s">
        <v>614</v>
      </c>
      <c r="D40" s="6" t="s">
        <v>312</v>
      </c>
      <c r="E40" s="12" t="s">
        <v>615</v>
      </c>
      <c r="F40" s="12" t="s">
        <v>37</v>
      </c>
      <c r="G40" s="12">
        <v>4</v>
      </c>
      <c r="H40" s="6" t="s">
        <v>616</v>
      </c>
      <c r="I40" s="15" t="s">
        <v>617</v>
      </c>
      <c r="J40" s="6" t="s">
        <v>618</v>
      </c>
    </row>
    <row r="41" spans="1:10" s="2" customFormat="1" ht="15" hidden="1" x14ac:dyDescent="0.25">
      <c r="A41" s="11">
        <v>33</v>
      </c>
      <c r="B41" s="4" t="s">
        <v>317</v>
      </c>
      <c r="C41" s="3" t="s">
        <v>318</v>
      </c>
      <c r="D41" s="3" t="s">
        <v>319</v>
      </c>
      <c r="E41" s="11" t="s">
        <v>56</v>
      </c>
      <c r="F41" s="11" t="s">
        <v>180</v>
      </c>
      <c r="G41" s="11">
        <v>3</v>
      </c>
      <c r="H41" s="3" t="s">
        <v>320</v>
      </c>
      <c r="I41" s="14" t="s">
        <v>321</v>
      </c>
      <c r="J41" s="3" t="s">
        <v>619</v>
      </c>
    </row>
    <row r="42" spans="1:10" s="2" customFormat="1" ht="15" hidden="1" x14ac:dyDescent="0.25">
      <c r="A42" s="12">
        <v>34</v>
      </c>
      <c r="B42" s="7" t="s">
        <v>322</v>
      </c>
      <c r="C42" s="6" t="s">
        <v>323</v>
      </c>
      <c r="D42" s="6" t="s">
        <v>319</v>
      </c>
      <c r="E42" s="12" t="s">
        <v>111</v>
      </c>
      <c r="F42" s="12" t="s">
        <v>111</v>
      </c>
      <c r="G42" s="12">
        <v>1</v>
      </c>
      <c r="H42" s="6" t="s">
        <v>143</v>
      </c>
      <c r="I42" s="15" t="s">
        <v>144</v>
      </c>
      <c r="J42" s="6" t="s">
        <v>326</v>
      </c>
    </row>
    <row r="43" spans="1:10" s="2" customFormat="1" ht="15" hidden="1" x14ac:dyDescent="0.25">
      <c r="A43" s="11">
        <v>35</v>
      </c>
      <c r="B43" s="4" t="s">
        <v>527</v>
      </c>
      <c r="C43" s="3" t="s">
        <v>528</v>
      </c>
      <c r="D43" s="3" t="s">
        <v>329</v>
      </c>
      <c r="E43" s="11" t="s">
        <v>105</v>
      </c>
      <c r="F43" s="11" t="s">
        <v>105</v>
      </c>
      <c r="G43" s="11">
        <v>1</v>
      </c>
      <c r="H43" s="3" t="s">
        <v>330</v>
      </c>
      <c r="I43" s="14" t="s">
        <v>331</v>
      </c>
      <c r="J43" s="3" t="s">
        <v>34</v>
      </c>
    </row>
    <row r="44" spans="1:10" s="2" customFormat="1" ht="15" x14ac:dyDescent="0.25">
      <c r="A44" s="12">
        <v>36</v>
      </c>
      <c r="B44" s="7" t="s">
        <v>527</v>
      </c>
      <c r="C44" s="6" t="s">
        <v>528</v>
      </c>
      <c r="D44" s="6" t="s">
        <v>329</v>
      </c>
      <c r="E44" s="12" t="s">
        <v>111</v>
      </c>
      <c r="F44" s="12" t="s">
        <v>111</v>
      </c>
      <c r="G44" s="12">
        <v>1</v>
      </c>
      <c r="H44" s="6" t="s">
        <v>330</v>
      </c>
      <c r="I44" s="15" t="s">
        <v>331</v>
      </c>
      <c r="J44" s="6" t="s">
        <v>620</v>
      </c>
    </row>
    <row r="45" spans="1:10" s="2" customFormat="1" ht="15" hidden="1" x14ac:dyDescent="0.25">
      <c r="A45" s="11">
        <v>37</v>
      </c>
      <c r="B45" s="4" t="s">
        <v>332</v>
      </c>
      <c r="C45" s="3" t="s">
        <v>333</v>
      </c>
      <c r="D45" s="3" t="s">
        <v>334</v>
      </c>
      <c r="E45" s="11" t="s">
        <v>105</v>
      </c>
      <c r="F45" s="11" t="s">
        <v>105</v>
      </c>
      <c r="G45" s="11">
        <v>1</v>
      </c>
      <c r="H45" s="3" t="s">
        <v>621</v>
      </c>
      <c r="I45" s="14" t="s">
        <v>622</v>
      </c>
      <c r="J45" s="3" t="s">
        <v>623</v>
      </c>
    </row>
    <row r="46" spans="1:10" s="2" customFormat="1" ht="15" hidden="1" x14ac:dyDescent="0.25">
      <c r="A46" s="12">
        <v>38</v>
      </c>
      <c r="B46" s="7" t="s">
        <v>332</v>
      </c>
      <c r="C46" s="6" t="s">
        <v>333</v>
      </c>
      <c r="D46" s="6" t="s">
        <v>334</v>
      </c>
      <c r="E46" s="12" t="s">
        <v>457</v>
      </c>
      <c r="F46" s="12" t="s">
        <v>45</v>
      </c>
      <c r="G46" s="12">
        <v>24</v>
      </c>
      <c r="H46" s="6" t="s">
        <v>335</v>
      </c>
      <c r="I46" s="15" t="s">
        <v>336</v>
      </c>
      <c r="J46" s="6" t="s">
        <v>624</v>
      </c>
    </row>
    <row r="47" spans="1:10" s="2" customFormat="1" ht="15" hidden="1" x14ac:dyDescent="0.25">
      <c r="A47" s="11">
        <v>39</v>
      </c>
      <c r="B47" s="4" t="s">
        <v>332</v>
      </c>
      <c r="C47" s="3" t="s">
        <v>333</v>
      </c>
      <c r="D47" s="3" t="s">
        <v>334</v>
      </c>
      <c r="E47" s="11" t="s">
        <v>49</v>
      </c>
      <c r="F47" s="11" t="s">
        <v>50</v>
      </c>
      <c r="G47" s="11">
        <v>2</v>
      </c>
      <c r="H47" s="3" t="s">
        <v>335</v>
      </c>
      <c r="I47" s="14" t="s">
        <v>336</v>
      </c>
      <c r="J47" s="3" t="s">
        <v>625</v>
      </c>
    </row>
    <row r="48" spans="1:10" s="2" customFormat="1" ht="15" hidden="1" x14ac:dyDescent="0.25">
      <c r="A48" s="12">
        <v>40</v>
      </c>
      <c r="B48" s="7" t="s">
        <v>337</v>
      </c>
      <c r="C48" s="6" t="s">
        <v>338</v>
      </c>
      <c r="D48" s="6" t="s">
        <v>339</v>
      </c>
      <c r="E48" s="12" t="s">
        <v>64</v>
      </c>
      <c r="F48" s="12" t="s">
        <v>64</v>
      </c>
      <c r="G48" s="12">
        <v>1</v>
      </c>
      <c r="H48" s="6" t="s">
        <v>626</v>
      </c>
      <c r="I48" s="15" t="s">
        <v>627</v>
      </c>
      <c r="J48" s="6" t="s">
        <v>585</v>
      </c>
    </row>
    <row r="49" spans="1:10" s="2" customFormat="1" ht="15" hidden="1" x14ac:dyDescent="0.25">
      <c r="A49" s="11">
        <v>41</v>
      </c>
      <c r="B49" s="4" t="s">
        <v>337</v>
      </c>
      <c r="C49" s="3" t="s">
        <v>338</v>
      </c>
      <c r="D49" s="3" t="s">
        <v>339</v>
      </c>
      <c r="E49" s="11" t="s">
        <v>45</v>
      </c>
      <c r="F49" s="11" t="s">
        <v>111</v>
      </c>
      <c r="G49" s="11">
        <v>3</v>
      </c>
      <c r="H49" s="3" t="s">
        <v>340</v>
      </c>
      <c r="I49" s="14" t="s">
        <v>341</v>
      </c>
      <c r="J49" s="3" t="s">
        <v>628</v>
      </c>
    </row>
    <row r="50" spans="1:10" s="2" customFormat="1" ht="15" hidden="1" x14ac:dyDescent="0.25">
      <c r="A50" s="12">
        <v>42</v>
      </c>
      <c r="B50" s="7" t="s">
        <v>540</v>
      </c>
      <c r="C50" s="6" t="s">
        <v>541</v>
      </c>
      <c r="D50" s="6" t="s">
        <v>539</v>
      </c>
      <c r="E50" s="12" t="s">
        <v>99</v>
      </c>
      <c r="F50" s="12" t="s">
        <v>81</v>
      </c>
      <c r="G50" s="11">
        <v>2</v>
      </c>
      <c r="H50" s="6" t="s">
        <v>330</v>
      </c>
      <c r="I50" s="15" t="s">
        <v>331</v>
      </c>
      <c r="J50" s="6" t="s">
        <v>34</v>
      </c>
    </row>
    <row r="51" spans="1:10" s="2" customFormat="1" ht="15" hidden="1" x14ac:dyDescent="0.25">
      <c r="A51" s="11">
        <v>43</v>
      </c>
      <c r="B51" s="4" t="s">
        <v>347</v>
      </c>
      <c r="C51" s="3" t="s">
        <v>348</v>
      </c>
      <c r="D51" s="3" t="s">
        <v>349</v>
      </c>
      <c r="E51" s="11" t="s">
        <v>105</v>
      </c>
      <c r="F51" s="11" t="s">
        <v>629</v>
      </c>
      <c r="G51" s="12">
        <v>14</v>
      </c>
      <c r="H51" s="3" t="s">
        <v>350</v>
      </c>
      <c r="I51" s="14" t="s">
        <v>351</v>
      </c>
      <c r="J51" s="3" t="s">
        <v>630</v>
      </c>
    </row>
    <row r="52" spans="1:10" s="2" customFormat="1" ht="15" hidden="1" x14ac:dyDescent="0.25">
      <c r="A52" s="12">
        <v>44</v>
      </c>
      <c r="B52" s="7" t="s">
        <v>347</v>
      </c>
      <c r="C52" s="6" t="s">
        <v>348</v>
      </c>
      <c r="D52" s="6" t="s">
        <v>349</v>
      </c>
      <c r="E52" s="12" t="s">
        <v>99</v>
      </c>
      <c r="F52" s="12" t="s">
        <v>21</v>
      </c>
      <c r="G52" s="11">
        <v>4</v>
      </c>
      <c r="H52" s="6" t="s">
        <v>350</v>
      </c>
      <c r="I52" s="15" t="s">
        <v>351</v>
      </c>
      <c r="J52" s="6" t="s">
        <v>631</v>
      </c>
    </row>
    <row r="53" spans="1:10" s="2" customFormat="1" ht="15" hidden="1" x14ac:dyDescent="0.25">
      <c r="A53" s="11">
        <v>45</v>
      </c>
      <c r="B53" s="4" t="s">
        <v>347</v>
      </c>
      <c r="C53" s="3" t="s">
        <v>348</v>
      </c>
      <c r="D53" s="3" t="s">
        <v>349</v>
      </c>
      <c r="E53" s="11" t="s">
        <v>33</v>
      </c>
      <c r="F53" s="11" t="s">
        <v>111</v>
      </c>
      <c r="G53" s="12">
        <v>4</v>
      </c>
      <c r="H53" s="3" t="s">
        <v>350</v>
      </c>
      <c r="I53" s="14" t="s">
        <v>351</v>
      </c>
      <c r="J53" s="3" t="s">
        <v>631</v>
      </c>
    </row>
    <row r="54" spans="1:10" s="2" customFormat="1" ht="15" hidden="1" x14ac:dyDescent="0.25">
      <c r="A54" s="12">
        <v>46</v>
      </c>
      <c r="B54" s="7" t="s">
        <v>632</v>
      </c>
      <c r="C54" s="6" t="s">
        <v>633</v>
      </c>
      <c r="D54" s="6" t="s">
        <v>545</v>
      </c>
      <c r="E54" s="12" t="s">
        <v>105</v>
      </c>
      <c r="F54" s="12" t="s">
        <v>56</v>
      </c>
      <c r="G54" s="11">
        <v>3</v>
      </c>
      <c r="H54" s="6" t="s">
        <v>473</v>
      </c>
      <c r="I54" s="15" t="s">
        <v>474</v>
      </c>
      <c r="J54" s="6" t="s">
        <v>634</v>
      </c>
    </row>
    <row r="55" spans="1:10" s="2" customFormat="1" ht="15" hidden="1" x14ac:dyDescent="0.25">
      <c r="A55" s="11">
        <v>47</v>
      </c>
      <c r="B55" s="4" t="s">
        <v>632</v>
      </c>
      <c r="C55" s="3" t="s">
        <v>633</v>
      </c>
      <c r="D55" s="3" t="s">
        <v>545</v>
      </c>
      <c r="E55" s="11" t="s">
        <v>57</v>
      </c>
      <c r="F55" s="11" t="s">
        <v>57</v>
      </c>
      <c r="G55" s="12">
        <v>1</v>
      </c>
      <c r="H55" s="3" t="s">
        <v>400</v>
      </c>
      <c r="I55" s="14" t="s">
        <v>401</v>
      </c>
      <c r="J55" s="3" t="s">
        <v>634</v>
      </c>
    </row>
    <row r="56" spans="1:10" s="2" customFormat="1" ht="15" hidden="1" x14ac:dyDescent="0.25">
      <c r="A56" s="12">
        <v>48</v>
      </c>
      <c r="B56" s="7" t="s">
        <v>632</v>
      </c>
      <c r="C56" s="6" t="s">
        <v>633</v>
      </c>
      <c r="D56" s="6" t="s">
        <v>545</v>
      </c>
      <c r="E56" s="12" t="s">
        <v>180</v>
      </c>
      <c r="F56" s="12" t="s">
        <v>37</v>
      </c>
      <c r="G56" s="11">
        <v>6</v>
      </c>
      <c r="H56" s="6" t="s">
        <v>473</v>
      </c>
      <c r="I56" s="15" t="s">
        <v>474</v>
      </c>
      <c r="J56" s="6" t="s">
        <v>634</v>
      </c>
    </row>
    <row r="57" spans="1:10" s="2" customFormat="1" ht="15" hidden="1" x14ac:dyDescent="0.25">
      <c r="A57" s="11">
        <v>49</v>
      </c>
      <c r="B57" s="4" t="s">
        <v>632</v>
      </c>
      <c r="C57" s="3" t="s">
        <v>633</v>
      </c>
      <c r="D57" s="3" t="s">
        <v>545</v>
      </c>
      <c r="E57" s="11" t="s">
        <v>214</v>
      </c>
      <c r="F57" s="11" t="s">
        <v>21</v>
      </c>
      <c r="G57" s="12">
        <v>10</v>
      </c>
      <c r="H57" s="3" t="s">
        <v>473</v>
      </c>
      <c r="I57" s="14" t="s">
        <v>474</v>
      </c>
      <c r="J57" s="3" t="s">
        <v>634</v>
      </c>
    </row>
    <row r="58" spans="1:10" s="2" customFormat="1" ht="15" hidden="1" x14ac:dyDescent="0.25">
      <c r="A58" s="12">
        <v>50</v>
      </c>
      <c r="B58" s="7" t="s">
        <v>632</v>
      </c>
      <c r="C58" s="6" t="s">
        <v>633</v>
      </c>
      <c r="D58" s="6" t="s">
        <v>545</v>
      </c>
      <c r="E58" s="12" t="s">
        <v>33</v>
      </c>
      <c r="F58" s="12" t="s">
        <v>50</v>
      </c>
      <c r="G58" s="11">
        <v>7</v>
      </c>
      <c r="H58" s="6" t="s">
        <v>473</v>
      </c>
      <c r="I58" s="15" t="s">
        <v>474</v>
      </c>
      <c r="J58" s="6" t="s">
        <v>634</v>
      </c>
    </row>
    <row r="59" spans="1:10" s="2" customFormat="1" ht="15" hidden="1" x14ac:dyDescent="0.25">
      <c r="A59" s="11">
        <v>51</v>
      </c>
      <c r="B59" s="4" t="s">
        <v>543</v>
      </c>
      <c r="C59" s="3" t="s">
        <v>544</v>
      </c>
      <c r="D59" s="3" t="s">
        <v>545</v>
      </c>
      <c r="E59" s="11" t="s">
        <v>105</v>
      </c>
      <c r="F59" s="11" t="s">
        <v>37</v>
      </c>
      <c r="G59" s="12">
        <v>10</v>
      </c>
      <c r="H59" s="3" t="s">
        <v>546</v>
      </c>
      <c r="I59" s="14" t="s">
        <v>547</v>
      </c>
      <c r="J59" s="3" t="s">
        <v>34</v>
      </c>
    </row>
    <row r="60" spans="1:10" s="2" customFormat="1" ht="15" hidden="1" x14ac:dyDescent="0.25">
      <c r="A60" s="12">
        <v>52</v>
      </c>
      <c r="B60" s="7" t="s">
        <v>543</v>
      </c>
      <c r="C60" s="6" t="s">
        <v>544</v>
      </c>
      <c r="D60" s="6" t="s">
        <v>545</v>
      </c>
      <c r="E60" s="12" t="s">
        <v>38</v>
      </c>
      <c r="F60" s="12" t="s">
        <v>45</v>
      </c>
      <c r="G60" s="11">
        <v>13</v>
      </c>
      <c r="H60" s="6" t="s">
        <v>546</v>
      </c>
      <c r="I60" s="15" t="s">
        <v>547</v>
      </c>
      <c r="J60" s="6" t="s">
        <v>34</v>
      </c>
    </row>
    <row r="61" spans="1:10" s="2" customFormat="1" ht="15" hidden="1" x14ac:dyDescent="0.25">
      <c r="A61" s="11">
        <v>53</v>
      </c>
      <c r="B61" s="4" t="s">
        <v>549</v>
      </c>
      <c r="C61" s="3" t="s">
        <v>550</v>
      </c>
      <c r="D61" s="3" t="s">
        <v>363</v>
      </c>
      <c r="E61" s="11" t="s">
        <v>56</v>
      </c>
      <c r="F61" s="11" t="s">
        <v>56</v>
      </c>
      <c r="G61" s="12">
        <v>1</v>
      </c>
      <c r="H61" s="3" t="s">
        <v>166</v>
      </c>
      <c r="I61" s="14" t="s">
        <v>167</v>
      </c>
      <c r="J61" s="3" t="s">
        <v>248</v>
      </c>
    </row>
    <row r="62" spans="1:10" s="2" customFormat="1" ht="15" hidden="1" x14ac:dyDescent="0.25">
      <c r="A62" s="12">
        <v>54</v>
      </c>
      <c r="B62" s="7" t="s">
        <v>549</v>
      </c>
      <c r="C62" s="6" t="s">
        <v>550</v>
      </c>
      <c r="D62" s="6" t="s">
        <v>363</v>
      </c>
      <c r="E62" s="12" t="s">
        <v>37</v>
      </c>
      <c r="F62" s="12" t="s">
        <v>37</v>
      </c>
      <c r="G62" s="11">
        <v>1</v>
      </c>
      <c r="H62" s="6" t="s">
        <v>364</v>
      </c>
      <c r="I62" s="15" t="s">
        <v>365</v>
      </c>
      <c r="J62" s="6" t="s">
        <v>248</v>
      </c>
    </row>
    <row r="63" spans="1:10" s="2" customFormat="1" ht="15" hidden="1" x14ac:dyDescent="0.25">
      <c r="A63" s="11">
        <v>55</v>
      </c>
      <c r="B63" s="4" t="s">
        <v>373</v>
      </c>
      <c r="C63" s="3" t="s">
        <v>374</v>
      </c>
      <c r="D63" s="3" t="s">
        <v>375</v>
      </c>
      <c r="E63" s="11" t="s">
        <v>37</v>
      </c>
      <c r="F63" s="11" t="s">
        <v>38</v>
      </c>
      <c r="G63" s="12">
        <v>4</v>
      </c>
      <c r="H63" s="3" t="s">
        <v>92</v>
      </c>
      <c r="I63" s="14" t="s">
        <v>93</v>
      </c>
      <c r="J63" s="3" t="s">
        <v>635</v>
      </c>
    </row>
    <row r="64" spans="1:10" s="2" customFormat="1" ht="15" hidden="1" x14ac:dyDescent="0.25">
      <c r="A64" s="12">
        <v>56</v>
      </c>
      <c r="B64" s="7" t="s">
        <v>373</v>
      </c>
      <c r="C64" s="6" t="s">
        <v>374</v>
      </c>
      <c r="D64" s="6" t="s">
        <v>375</v>
      </c>
      <c r="E64" s="12" t="s">
        <v>44</v>
      </c>
      <c r="F64" s="12" t="s">
        <v>44</v>
      </c>
      <c r="G64" s="11">
        <v>1</v>
      </c>
      <c r="H64" s="6" t="s">
        <v>92</v>
      </c>
      <c r="I64" s="15" t="s">
        <v>93</v>
      </c>
      <c r="J64" s="6" t="s">
        <v>636</v>
      </c>
    </row>
    <row r="65" spans="1:10" s="2" customFormat="1" ht="15" hidden="1" x14ac:dyDescent="0.25">
      <c r="A65" s="11">
        <v>57</v>
      </c>
      <c r="B65" s="4" t="s">
        <v>378</v>
      </c>
      <c r="C65" s="3" t="s">
        <v>379</v>
      </c>
      <c r="D65" s="3" t="s">
        <v>380</v>
      </c>
      <c r="E65" s="11" t="s">
        <v>217</v>
      </c>
      <c r="F65" s="11" t="s">
        <v>38</v>
      </c>
      <c r="G65" s="11">
        <v>2</v>
      </c>
      <c r="H65" s="3" t="s">
        <v>381</v>
      </c>
      <c r="I65" s="14" t="s">
        <v>382</v>
      </c>
      <c r="J65" s="3" t="s">
        <v>637</v>
      </c>
    </row>
    <row r="66" spans="1:10" s="2" customFormat="1" ht="15" hidden="1" x14ac:dyDescent="0.25">
      <c r="A66" s="12">
        <v>58</v>
      </c>
      <c r="B66" s="7" t="s">
        <v>378</v>
      </c>
      <c r="C66" s="6" t="s">
        <v>379</v>
      </c>
      <c r="D66" s="6" t="s">
        <v>380</v>
      </c>
      <c r="E66" s="12" t="s">
        <v>81</v>
      </c>
      <c r="F66" s="12" t="s">
        <v>81</v>
      </c>
      <c r="G66" s="12">
        <v>1</v>
      </c>
      <c r="H66" s="6" t="s">
        <v>381</v>
      </c>
      <c r="I66" s="15" t="s">
        <v>382</v>
      </c>
      <c r="J66" s="6" t="s">
        <v>638</v>
      </c>
    </row>
    <row r="67" spans="1:10" s="2" customFormat="1" ht="15" hidden="1" x14ac:dyDescent="0.25">
      <c r="A67" s="11">
        <v>59</v>
      </c>
      <c r="B67" s="4" t="s">
        <v>378</v>
      </c>
      <c r="C67" s="3" t="s">
        <v>379</v>
      </c>
      <c r="D67" s="3" t="s">
        <v>380</v>
      </c>
      <c r="E67" s="11" t="s">
        <v>33</v>
      </c>
      <c r="F67" s="11" t="s">
        <v>45</v>
      </c>
      <c r="G67" s="11">
        <v>2</v>
      </c>
      <c r="H67" s="3" t="s">
        <v>639</v>
      </c>
      <c r="I67" s="14" t="s">
        <v>640</v>
      </c>
      <c r="J67" s="3" t="s">
        <v>641</v>
      </c>
    </row>
    <row r="68" spans="1:10" s="2" customFormat="1" ht="15" x14ac:dyDescent="0.25">
      <c r="A68" s="12">
        <v>60</v>
      </c>
      <c r="B68" s="7" t="s">
        <v>378</v>
      </c>
      <c r="C68" s="6" t="s">
        <v>379</v>
      </c>
      <c r="D68" s="6" t="s">
        <v>380</v>
      </c>
      <c r="E68" s="12" t="s">
        <v>49</v>
      </c>
      <c r="F68" s="12" t="s">
        <v>49</v>
      </c>
      <c r="G68" s="12">
        <v>1</v>
      </c>
      <c r="H68" s="6" t="s">
        <v>381</v>
      </c>
      <c r="I68" s="15" t="s">
        <v>382</v>
      </c>
      <c r="J68" s="6" t="s">
        <v>642</v>
      </c>
    </row>
    <row r="69" spans="1:10" s="2" customFormat="1" ht="15" x14ac:dyDescent="0.25">
      <c r="A69" s="11">
        <v>61</v>
      </c>
      <c r="B69" s="4" t="s">
        <v>378</v>
      </c>
      <c r="C69" s="3" t="s">
        <v>379</v>
      </c>
      <c r="D69" s="3" t="s">
        <v>380</v>
      </c>
      <c r="E69" s="11" t="s">
        <v>50</v>
      </c>
      <c r="F69" s="11" t="s">
        <v>50</v>
      </c>
      <c r="G69" s="11">
        <v>1</v>
      </c>
      <c r="H69" s="3" t="s">
        <v>381</v>
      </c>
      <c r="I69" s="14" t="s">
        <v>382</v>
      </c>
      <c r="J69" s="3" t="s">
        <v>643</v>
      </c>
    </row>
    <row r="70" spans="1:10" s="2" customFormat="1" ht="15" hidden="1" x14ac:dyDescent="0.25">
      <c r="A70" s="12">
        <v>62</v>
      </c>
      <c r="B70" s="7" t="s">
        <v>389</v>
      </c>
      <c r="C70" s="6" t="s">
        <v>390</v>
      </c>
      <c r="D70" s="6" t="s">
        <v>380</v>
      </c>
      <c r="E70" s="12" t="s">
        <v>37</v>
      </c>
      <c r="F70" s="12" t="s">
        <v>214</v>
      </c>
      <c r="G70" s="12">
        <v>2</v>
      </c>
      <c r="H70" s="6" t="s">
        <v>381</v>
      </c>
      <c r="I70" s="15" t="s">
        <v>382</v>
      </c>
      <c r="J70" s="6" t="s">
        <v>644</v>
      </c>
    </row>
    <row r="71" spans="1:10" s="2" customFormat="1" ht="15" hidden="1" x14ac:dyDescent="0.25">
      <c r="A71" s="11">
        <v>63</v>
      </c>
      <c r="B71" s="4" t="s">
        <v>389</v>
      </c>
      <c r="C71" s="3" t="s">
        <v>390</v>
      </c>
      <c r="D71" s="3" t="s">
        <v>380</v>
      </c>
      <c r="E71" s="11" t="s">
        <v>217</v>
      </c>
      <c r="F71" s="11" t="s">
        <v>38</v>
      </c>
      <c r="G71" s="11">
        <v>2</v>
      </c>
      <c r="H71" s="3" t="s">
        <v>386</v>
      </c>
      <c r="I71" s="14" t="s">
        <v>387</v>
      </c>
      <c r="J71" s="3" t="s">
        <v>645</v>
      </c>
    </row>
    <row r="72" spans="1:10" s="2" customFormat="1" ht="15" hidden="1" x14ac:dyDescent="0.25">
      <c r="A72" s="12">
        <v>64</v>
      </c>
      <c r="B72" s="7" t="s">
        <v>389</v>
      </c>
      <c r="C72" s="6" t="s">
        <v>390</v>
      </c>
      <c r="D72" s="6" t="s">
        <v>380</v>
      </c>
      <c r="E72" s="12" t="s">
        <v>98</v>
      </c>
      <c r="F72" s="12" t="s">
        <v>99</v>
      </c>
      <c r="G72" s="12">
        <v>2</v>
      </c>
      <c r="H72" s="6" t="s">
        <v>381</v>
      </c>
      <c r="I72" s="15" t="s">
        <v>382</v>
      </c>
      <c r="J72" s="6" t="s">
        <v>645</v>
      </c>
    </row>
    <row r="73" spans="1:10" s="2" customFormat="1" ht="15" hidden="1" x14ac:dyDescent="0.25">
      <c r="A73" s="11">
        <v>65</v>
      </c>
      <c r="B73" s="4" t="s">
        <v>389</v>
      </c>
      <c r="C73" s="3" t="s">
        <v>390</v>
      </c>
      <c r="D73" s="3" t="s">
        <v>380</v>
      </c>
      <c r="E73" s="11" t="s">
        <v>68</v>
      </c>
      <c r="F73" s="11" t="s">
        <v>21</v>
      </c>
      <c r="G73" s="11">
        <v>2</v>
      </c>
      <c r="H73" s="3" t="s">
        <v>381</v>
      </c>
      <c r="I73" s="14" t="s">
        <v>382</v>
      </c>
      <c r="J73" s="3" t="s">
        <v>645</v>
      </c>
    </row>
    <row r="74" spans="1:10" s="2" customFormat="1" ht="15" hidden="1" x14ac:dyDescent="0.25">
      <c r="A74" s="12">
        <v>66</v>
      </c>
      <c r="B74" s="7" t="s">
        <v>389</v>
      </c>
      <c r="C74" s="6" t="s">
        <v>390</v>
      </c>
      <c r="D74" s="6" t="s">
        <v>380</v>
      </c>
      <c r="E74" s="12" t="s">
        <v>33</v>
      </c>
      <c r="F74" s="12" t="s">
        <v>45</v>
      </c>
      <c r="G74" s="12">
        <v>2</v>
      </c>
      <c r="H74" s="6" t="s">
        <v>381</v>
      </c>
      <c r="I74" s="15" t="s">
        <v>382</v>
      </c>
      <c r="J74" s="6" t="s">
        <v>644</v>
      </c>
    </row>
    <row r="75" spans="1:10" s="2" customFormat="1" ht="15" x14ac:dyDescent="0.25">
      <c r="A75" s="11">
        <v>67</v>
      </c>
      <c r="B75" s="4" t="s">
        <v>389</v>
      </c>
      <c r="C75" s="3" t="s">
        <v>390</v>
      </c>
      <c r="D75" s="3" t="s">
        <v>380</v>
      </c>
      <c r="E75" s="11" t="s">
        <v>111</v>
      </c>
      <c r="F75" s="11" t="s">
        <v>111</v>
      </c>
      <c r="G75" s="11">
        <v>1</v>
      </c>
      <c r="H75" s="3" t="s">
        <v>381</v>
      </c>
      <c r="I75" s="14" t="s">
        <v>382</v>
      </c>
      <c r="J75" s="3" t="s">
        <v>646</v>
      </c>
    </row>
    <row r="76" spans="1:10" s="2" customFormat="1" ht="15" x14ac:dyDescent="0.25">
      <c r="A76" s="12">
        <v>68</v>
      </c>
      <c r="B76" s="7" t="s">
        <v>389</v>
      </c>
      <c r="C76" s="6" t="s">
        <v>390</v>
      </c>
      <c r="D76" s="6" t="s">
        <v>380</v>
      </c>
      <c r="E76" s="12" t="s">
        <v>49</v>
      </c>
      <c r="F76" s="12" t="s">
        <v>49</v>
      </c>
      <c r="G76" s="12">
        <v>1</v>
      </c>
      <c r="H76" s="6" t="s">
        <v>386</v>
      </c>
      <c r="I76" s="15" t="s">
        <v>387</v>
      </c>
      <c r="J76" s="6" t="s">
        <v>646</v>
      </c>
    </row>
    <row r="77" spans="1:10" s="2" customFormat="1" ht="15" hidden="1" x14ac:dyDescent="0.25">
      <c r="A77" s="11">
        <v>69</v>
      </c>
      <c r="B77" s="4" t="s">
        <v>398</v>
      </c>
      <c r="C77" s="3" t="s">
        <v>399</v>
      </c>
      <c r="D77" s="3" t="s">
        <v>394</v>
      </c>
      <c r="E77" s="11" t="s">
        <v>56</v>
      </c>
      <c r="F77" s="11" t="s">
        <v>56</v>
      </c>
      <c r="G77" s="11">
        <v>1</v>
      </c>
      <c r="H77" s="3" t="s">
        <v>400</v>
      </c>
      <c r="I77" s="14" t="s">
        <v>401</v>
      </c>
      <c r="J77" s="3" t="s">
        <v>114</v>
      </c>
    </row>
    <row r="78" spans="1:10" s="2" customFormat="1" ht="15" hidden="1" x14ac:dyDescent="0.25">
      <c r="A78" s="12">
        <v>70</v>
      </c>
      <c r="B78" s="7" t="s">
        <v>647</v>
      </c>
      <c r="C78" s="6" t="s">
        <v>648</v>
      </c>
      <c r="D78" s="6" t="s">
        <v>404</v>
      </c>
      <c r="E78" s="12" t="s">
        <v>105</v>
      </c>
      <c r="F78" s="12" t="s">
        <v>105</v>
      </c>
      <c r="G78" s="12">
        <v>1</v>
      </c>
      <c r="H78" s="6" t="s">
        <v>92</v>
      </c>
      <c r="I78" s="15" t="s">
        <v>93</v>
      </c>
      <c r="J78" s="6" t="s">
        <v>649</v>
      </c>
    </row>
    <row r="79" spans="1:10" s="2" customFormat="1" ht="15" hidden="1" x14ac:dyDescent="0.25">
      <c r="A79" s="11">
        <v>71</v>
      </c>
      <c r="B79" s="4" t="s">
        <v>647</v>
      </c>
      <c r="C79" s="3" t="s">
        <v>648</v>
      </c>
      <c r="D79" s="3" t="s">
        <v>404</v>
      </c>
      <c r="E79" s="11" t="s">
        <v>57</v>
      </c>
      <c r="F79" s="11" t="s">
        <v>57</v>
      </c>
      <c r="G79" s="11">
        <v>1</v>
      </c>
      <c r="H79" s="3" t="s">
        <v>405</v>
      </c>
      <c r="I79" s="14" t="s">
        <v>406</v>
      </c>
      <c r="J79" s="3" t="s">
        <v>197</v>
      </c>
    </row>
    <row r="80" spans="1:10" ht="15" hidden="1" x14ac:dyDescent="0.25">
      <c r="A80" s="46" t="s">
        <v>413</v>
      </c>
      <c r="B80" s="46"/>
      <c r="C80" s="46"/>
      <c r="D80" s="46"/>
      <c r="E80" s="46"/>
      <c r="F80" s="46"/>
      <c r="G80" s="9">
        <v>330</v>
      </c>
      <c r="H80" s="10"/>
      <c r="I80" s="10"/>
      <c r="J80" s="10"/>
    </row>
  </sheetData>
  <autoFilter ref="A8:J80" xr:uid="{00000000-0001-0000-0400-000000000000}">
    <filterColumn colId="9">
      <customFilters>
        <customFilter val="*(*"/>
      </customFilters>
    </filterColumn>
  </autoFilter>
  <mergeCells count="8">
    <mergeCell ref="A6:J6"/>
    <mergeCell ref="A7:J7"/>
    <mergeCell ref="A80:F80"/>
    <mergeCell ref="A1:J1"/>
    <mergeCell ref="A2:J2"/>
    <mergeCell ref="A3:J3"/>
    <mergeCell ref="A4:J4"/>
    <mergeCell ref="A5:J5"/>
  </mergeCells>
  <printOptions horizontalCentered="1"/>
  <pageMargins left="0.4" right="0.4" top="0.45" bottom="0.45" header="0.2" footer="0.2"/>
  <pageSetup paperSize="9" fitToHeight="0" orientation="landscape"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16"/>
  <sheetViews>
    <sheetView workbookViewId="0">
      <pane ySplit="8" topLeftCell="A9" activePane="bottomLeft" state="frozen"/>
      <selection pane="bottomLeft" activeCell="D18" sqref="D18"/>
    </sheetView>
  </sheetViews>
  <sheetFormatPr defaultRowHeight="18" customHeight="1" x14ac:dyDescent="0.25"/>
  <cols>
    <col min="1" max="1" width="6" customWidth="1"/>
    <col min="2" max="2" width="11" customWidth="1"/>
    <col min="3" max="3" width="22" customWidth="1"/>
    <col min="4" max="4" width="26" customWidth="1"/>
    <col min="5" max="6" width="13" customWidth="1"/>
    <col min="7" max="7" width="12" customWidth="1"/>
    <col min="8" max="8" width="22" customWidth="1"/>
    <col min="9" max="9" width="15" customWidth="1"/>
    <col min="10" max="10" width="50" customWidth="1"/>
  </cols>
  <sheetData>
    <row r="1" spans="1:10" ht="26.1" customHeight="1" x14ac:dyDescent="0.25">
      <c r="A1" s="47" t="s">
        <v>0</v>
      </c>
      <c r="B1" s="47"/>
      <c r="C1" s="47"/>
      <c r="D1" s="47"/>
      <c r="E1" s="47"/>
      <c r="F1" s="47"/>
      <c r="G1" s="47"/>
      <c r="H1" s="47"/>
      <c r="I1" s="47"/>
      <c r="J1" s="47"/>
    </row>
    <row r="2" spans="1:10" ht="20.100000000000001" customHeight="1" x14ac:dyDescent="0.25">
      <c r="A2" s="48" t="s">
        <v>1</v>
      </c>
      <c r="B2" s="48"/>
      <c r="C2" s="48"/>
      <c r="D2" s="48"/>
      <c r="E2" s="48"/>
      <c r="F2" s="48"/>
      <c r="G2" s="48"/>
      <c r="H2" s="48"/>
      <c r="I2" s="48"/>
      <c r="J2" s="48"/>
    </row>
    <row r="3" spans="1:10" ht="20.100000000000001" customHeight="1" x14ac:dyDescent="0.25">
      <c r="A3" s="49" t="s">
        <v>414</v>
      </c>
      <c r="B3" s="49"/>
      <c r="C3" s="49"/>
      <c r="D3" s="49"/>
      <c r="E3" s="49"/>
      <c r="F3" s="49"/>
      <c r="G3" s="49"/>
      <c r="H3" s="49"/>
      <c r="I3" s="49"/>
      <c r="J3" s="49"/>
    </row>
    <row r="4" spans="1:10" ht="18" customHeight="1" x14ac:dyDescent="0.25">
      <c r="A4" s="44" t="s">
        <v>3</v>
      </c>
      <c r="B4" s="44"/>
      <c r="C4" s="44"/>
      <c r="D4" s="44"/>
      <c r="E4" s="44"/>
      <c r="F4" s="44"/>
      <c r="G4" s="44"/>
      <c r="H4" s="44"/>
      <c r="I4" s="44"/>
      <c r="J4" s="44"/>
    </row>
    <row r="5" spans="1:10" ht="33.950000000000003" customHeight="1" x14ac:dyDescent="0.25">
      <c r="A5" s="44" t="s">
        <v>4</v>
      </c>
      <c r="B5" s="44"/>
      <c r="C5" s="44"/>
      <c r="D5" s="44"/>
      <c r="E5" s="44"/>
      <c r="F5" s="44"/>
      <c r="G5" s="44"/>
      <c r="H5" s="44"/>
      <c r="I5" s="44"/>
      <c r="J5" s="44"/>
    </row>
    <row r="6" spans="1:10" ht="18" customHeight="1" x14ac:dyDescent="0.25">
      <c r="A6" s="44" t="s">
        <v>5</v>
      </c>
      <c r="B6" s="44"/>
      <c r="C6" s="44"/>
      <c r="D6" s="44"/>
      <c r="E6" s="44"/>
      <c r="F6" s="44"/>
      <c r="G6" s="44"/>
      <c r="H6" s="44"/>
      <c r="I6" s="44"/>
      <c r="J6" s="44"/>
    </row>
    <row r="7" spans="1:10" ht="21.95" customHeight="1" x14ac:dyDescent="0.25">
      <c r="A7" s="50" t="s">
        <v>650</v>
      </c>
      <c r="B7" s="50"/>
      <c r="C7" s="50"/>
      <c r="D7" s="50"/>
      <c r="E7" s="50"/>
      <c r="F7" s="50"/>
      <c r="G7" s="50"/>
      <c r="H7" s="50"/>
      <c r="I7" s="50"/>
      <c r="J7" s="50"/>
    </row>
    <row r="8" spans="1:10" ht="21.95" customHeight="1" x14ac:dyDescent="0.25">
      <c r="A8" s="1" t="s">
        <v>7</v>
      </c>
      <c r="B8" s="1" t="s">
        <v>8</v>
      </c>
      <c r="C8" s="1" t="s">
        <v>9</v>
      </c>
      <c r="D8" s="1" t="s">
        <v>10</v>
      </c>
      <c r="E8" s="1" t="s">
        <v>11</v>
      </c>
      <c r="F8" s="1" t="s">
        <v>12</v>
      </c>
      <c r="G8" s="1" t="s">
        <v>13</v>
      </c>
      <c r="H8" s="1" t="s">
        <v>14</v>
      </c>
      <c r="I8" s="1" t="s">
        <v>15</v>
      </c>
      <c r="J8" s="1" t="s">
        <v>16</v>
      </c>
    </row>
    <row r="9" spans="1:10" s="2" customFormat="1" ht="15" x14ac:dyDescent="0.25">
      <c r="A9" s="3">
        <v>1</v>
      </c>
      <c r="B9" s="4" t="s">
        <v>421</v>
      </c>
      <c r="C9" s="3" t="s">
        <v>422</v>
      </c>
      <c r="D9" s="3" t="s">
        <v>423</v>
      </c>
      <c r="E9" s="3" t="s">
        <v>457</v>
      </c>
      <c r="F9" s="3" t="s">
        <v>75</v>
      </c>
      <c r="G9" s="5">
        <v>8</v>
      </c>
      <c r="H9" s="3" t="s">
        <v>424</v>
      </c>
      <c r="I9" s="4" t="s">
        <v>425</v>
      </c>
      <c r="J9" s="3" t="s">
        <v>651</v>
      </c>
    </row>
    <row r="10" spans="1:10" s="2" customFormat="1" ht="15" x14ac:dyDescent="0.25">
      <c r="A10" s="6">
        <v>2</v>
      </c>
      <c r="B10" s="7" t="s">
        <v>421</v>
      </c>
      <c r="C10" s="6" t="s">
        <v>422</v>
      </c>
      <c r="D10" s="6" t="s">
        <v>423</v>
      </c>
      <c r="E10" s="6" t="s">
        <v>20</v>
      </c>
      <c r="F10" s="6" t="s">
        <v>71</v>
      </c>
      <c r="G10" s="8">
        <v>8</v>
      </c>
      <c r="H10" s="6" t="s">
        <v>424</v>
      </c>
      <c r="I10" s="7" t="s">
        <v>425</v>
      </c>
      <c r="J10" s="6" t="s">
        <v>636</v>
      </c>
    </row>
    <row r="11" spans="1:10" s="2" customFormat="1" ht="15" x14ac:dyDescent="0.25">
      <c r="A11" s="3">
        <v>3</v>
      </c>
      <c r="B11" s="4" t="s">
        <v>421</v>
      </c>
      <c r="C11" s="3" t="s">
        <v>422</v>
      </c>
      <c r="D11" s="3" t="s">
        <v>423</v>
      </c>
      <c r="E11" s="3" t="s">
        <v>33</v>
      </c>
      <c r="F11" s="3" t="s">
        <v>50</v>
      </c>
      <c r="G11" s="5">
        <v>7</v>
      </c>
      <c r="H11" s="3" t="s">
        <v>424</v>
      </c>
      <c r="I11" s="4" t="s">
        <v>425</v>
      </c>
      <c r="J11" s="3" t="s">
        <v>636</v>
      </c>
    </row>
    <row r="12" spans="1:10" s="2" customFormat="1" ht="15" x14ac:dyDescent="0.25">
      <c r="A12" s="6">
        <v>4</v>
      </c>
      <c r="B12" s="7" t="s">
        <v>426</v>
      </c>
      <c r="C12" s="6" t="s">
        <v>427</v>
      </c>
      <c r="D12" s="6" t="s">
        <v>428</v>
      </c>
      <c r="E12" s="6" t="s">
        <v>111</v>
      </c>
      <c r="F12" s="6" t="s">
        <v>111</v>
      </c>
      <c r="G12" s="8">
        <v>1</v>
      </c>
      <c r="H12" s="6" t="s">
        <v>429</v>
      </c>
      <c r="I12" s="7" t="s">
        <v>430</v>
      </c>
      <c r="J12" s="6" t="s">
        <v>652</v>
      </c>
    </row>
    <row r="13" spans="1:10" s="2" customFormat="1" ht="15" x14ac:dyDescent="0.25">
      <c r="A13" s="3">
        <v>5</v>
      </c>
      <c r="B13" s="4" t="s">
        <v>426</v>
      </c>
      <c r="C13" s="3" t="s">
        <v>427</v>
      </c>
      <c r="D13" s="3" t="s">
        <v>428</v>
      </c>
      <c r="E13" s="3" t="s">
        <v>50</v>
      </c>
      <c r="F13" s="3" t="s">
        <v>50</v>
      </c>
      <c r="G13" s="5">
        <v>1</v>
      </c>
      <c r="H13" s="3" t="s">
        <v>429</v>
      </c>
      <c r="I13" s="4" t="s">
        <v>430</v>
      </c>
      <c r="J13" s="3" t="s">
        <v>653</v>
      </c>
    </row>
    <row r="14" spans="1:10" s="2" customFormat="1" ht="15" x14ac:dyDescent="0.25">
      <c r="A14" s="6">
        <v>6</v>
      </c>
      <c r="B14" s="7" t="s">
        <v>432</v>
      </c>
      <c r="C14" s="6" t="s">
        <v>433</v>
      </c>
      <c r="D14" s="6" t="s">
        <v>428</v>
      </c>
      <c r="E14" s="6" t="s">
        <v>38</v>
      </c>
      <c r="F14" s="6" t="s">
        <v>38</v>
      </c>
      <c r="G14" s="8">
        <v>1</v>
      </c>
      <c r="H14" s="6" t="s">
        <v>419</v>
      </c>
      <c r="I14" s="7" t="s">
        <v>420</v>
      </c>
      <c r="J14" s="6" t="s">
        <v>654</v>
      </c>
    </row>
    <row r="15" spans="1:10" s="2" customFormat="1" ht="15" x14ac:dyDescent="0.25">
      <c r="A15" s="3">
        <v>7</v>
      </c>
      <c r="B15" s="4" t="s">
        <v>570</v>
      </c>
      <c r="C15" s="3" t="s">
        <v>571</v>
      </c>
      <c r="D15" s="3" t="s">
        <v>451</v>
      </c>
      <c r="E15" s="3" t="s">
        <v>44</v>
      </c>
      <c r="F15" s="3" t="s">
        <v>44</v>
      </c>
      <c r="G15" s="5">
        <v>1</v>
      </c>
      <c r="H15" s="3" t="s">
        <v>429</v>
      </c>
      <c r="I15" s="4" t="s">
        <v>430</v>
      </c>
      <c r="J15" s="3" t="s">
        <v>655</v>
      </c>
    </row>
    <row r="16" spans="1:10" ht="15" x14ac:dyDescent="0.25">
      <c r="A16" s="46" t="s">
        <v>453</v>
      </c>
      <c r="B16" s="46"/>
      <c r="C16" s="46"/>
      <c r="D16" s="46"/>
      <c r="E16" s="46"/>
      <c r="F16" s="46"/>
      <c r="G16" s="9">
        <v>27</v>
      </c>
      <c r="H16" s="10"/>
      <c r="I16" s="10"/>
      <c r="J16" s="10"/>
    </row>
  </sheetData>
  <mergeCells count="8">
    <mergeCell ref="A6:J6"/>
    <mergeCell ref="A7:J7"/>
    <mergeCell ref="A16:F16"/>
    <mergeCell ref="A1:J1"/>
    <mergeCell ref="A2:J2"/>
    <mergeCell ref="A3:J3"/>
    <mergeCell ref="A4:J4"/>
    <mergeCell ref="A5:J5"/>
  </mergeCells>
  <printOptions horizontalCentered="1"/>
  <pageMargins left="0.4" right="0.4" top="0.45" bottom="0.45" header="0.2" footer="0.2"/>
  <pageSetup paperSize="9" fitToHeight="0" orientation="landscape"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N25"/>
  <sheetViews>
    <sheetView tabSelected="1" workbookViewId="0">
      <pane ySplit="8" topLeftCell="A9" activePane="bottomLeft" state="frozen"/>
      <selection pane="bottomLeft" activeCell="E13" sqref="E13"/>
    </sheetView>
  </sheetViews>
  <sheetFormatPr defaultRowHeight="18" customHeight="1" x14ac:dyDescent="0.25"/>
  <cols>
    <col min="1" max="1" width="4.42578125" bestFit="1" customWidth="1"/>
    <col min="2" max="2" width="12.7109375" bestFit="1" customWidth="1"/>
    <col min="3" max="3" width="21.42578125" bestFit="1" customWidth="1"/>
    <col min="4" max="4" width="26.28515625" bestFit="1" customWidth="1"/>
    <col min="5" max="5" width="32.28515625" bestFit="1" customWidth="1"/>
    <col min="6" max="7" width="14.5703125" bestFit="1" customWidth="1"/>
    <col min="8" max="8" width="11.140625" bestFit="1" customWidth="1"/>
    <col min="9" max="9" width="23.7109375" bestFit="1" customWidth="1"/>
    <col min="10" max="10" width="28.7109375" customWidth="1"/>
    <col min="11" max="11" width="14.5703125" bestFit="1" customWidth="1"/>
    <col min="12" max="13" width="15.7109375" bestFit="1" customWidth="1"/>
  </cols>
  <sheetData>
    <row r="1" spans="1:14" ht="26.1" customHeight="1" x14ac:dyDescent="0.25">
      <c r="A1" s="55" t="s">
        <v>0</v>
      </c>
      <c r="B1" s="55"/>
      <c r="C1" s="55"/>
      <c r="D1" s="55"/>
      <c r="E1" s="55"/>
      <c r="F1" s="55"/>
      <c r="G1" s="55"/>
      <c r="H1" s="55"/>
      <c r="I1" s="55"/>
      <c r="J1" s="55"/>
      <c r="K1" s="55"/>
      <c r="L1" s="55"/>
      <c r="M1" s="55"/>
      <c r="N1" s="2"/>
    </row>
    <row r="2" spans="1:14" ht="27" customHeight="1" x14ac:dyDescent="0.25">
      <c r="A2" s="56" t="s">
        <v>1</v>
      </c>
      <c r="B2" s="56"/>
      <c r="C2" s="56"/>
      <c r="D2" s="56"/>
      <c r="E2" s="56"/>
      <c r="F2" s="56"/>
      <c r="G2" s="56"/>
      <c r="H2" s="56"/>
      <c r="I2" s="56"/>
      <c r="J2" s="56"/>
      <c r="K2" s="56"/>
      <c r="L2" s="56"/>
      <c r="M2" s="56"/>
      <c r="N2" s="2"/>
    </row>
    <row r="3" spans="1:14" ht="24" customHeight="1" x14ac:dyDescent="0.25">
      <c r="A3" s="57" t="s">
        <v>701</v>
      </c>
      <c r="B3" s="57"/>
      <c r="C3" s="57"/>
      <c r="D3" s="57"/>
      <c r="E3" s="57"/>
      <c r="F3" s="57"/>
      <c r="G3" s="57"/>
      <c r="H3" s="57"/>
      <c r="I3" s="57"/>
      <c r="J3" s="57"/>
      <c r="K3" s="57"/>
      <c r="L3" s="57"/>
      <c r="M3" s="57"/>
      <c r="N3" s="2"/>
    </row>
    <row r="4" spans="1:14" ht="32.25" customHeight="1" x14ac:dyDescent="0.25">
      <c r="A4" s="52" t="s">
        <v>687</v>
      </c>
      <c r="B4" s="52"/>
      <c r="C4" s="52"/>
      <c r="D4" s="52"/>
      <c r="E4" s="52"/>
      <c r="F4" s="52"/>
      <c r="G4" s="52"/>
      <c r="H4" s="52"/>
      <c r="I4" s="52"/>
      <c r="J4" s="52"/>
      <c r="K4" s="52"/>
      <c r="L4" s="52"/>
      <c r="M4" s="52"/>
      <c r="N4" s="2"/>
    </row>
    <row r="5" spans="1:14" ht="37.5" customHeight="1" x14ac:dyDescent="0.25">
      <c r="A5" s="52" t="s">
        <v>697</v>
      </c>
      <c r="B5" s="52"/>
      <c r="C5" s="52"/>
      <c r="D5" s="52"/>
      <c r="E5" s="52"/>
      <c r="F5" s="52"/>
      <c r="G5" s="52"/>
      <c r="H5" s="52"/>
      <c r="I5" s="52"/>
      <c r="J5" s="52"/>
      <c r="K5" s="52"/>
      <c r="L5" s="52"/>
      <c r="M5" s="52"/>
      <c r="N5" s="2"/>
    </row>
    <row r="6" spans="1:14" ht="26.25" customHeight="1" x14ac:dyDescent="0.25">
      <c r="A6" s="52" t="s">
        <v>681</v>
      </c>
      <c r="B6" s="52"/>
      <c r="C6" s="52"/>
      <c r="D6" s="52"/>
      <c r="E6" s="52"/>
      <c r="F6" s="52"/>
      <c r="G6" s="52"/>
      <c r="H6" s="52"/>
      <c r="I6" s="52"/>
      <c r="J6" s="52"/>
      <c r="K6" s="52"/>
      <c r="L6" s="52"/>
      <c r="M6" s="52"/>
      <c r="N6" s="2"/>
    </row>
    <row r="7" spans="1:14" ht="21.95" customHeight="1" x14ac:dyDescent="0.25">
      <c r="A7" s="53" t="s">
        <v>702</v>
      </c>
      <c r="B7" s="53"/>
      <c r="C7" s="53"/>
      <c r="D7" s="53"/>
      <c r="E7" s="53"/>
      <c r="F7" s="53"/>
      <c r="G7" s="53"/>
      <c r="H7" s="53"/>
      <c r="I7" s="53"/>
      <c r="J7" s="53"/>
      <c r="K7" s="53"/>
      <c r="L7" s="53"/>
      <c r="M7" s="53"/>
      <c r="N7" s="2"/>
    </row>
    <row r="8" spans="1:14" s="17" customFormat="1" ht="63" x14ac:dyDescent="0.25">
      <c r="A8" s="24" t="s">
        <v>7</v>
      </c>
      <c r="B8" s="24" t="s">
        <v>8</v>
      </c>
      <c r="C8" s="24" t="s">
        <v>9</v>
      </c>
      <c r="D8" s="24" t="s">
        <v>674</v>
      </c>
      <c r="E8" s="24" t="s">
        <v>10</v>
      </c>
      <c r="F8" s="24" t="s">
        <v>11</v>
      </c>
      <c r="G8" s="24" t="s">
        <v>12</v>
      </c>
      <c r="H8" s="24" t="s">
        <v>673</v>
      </c>
      <c r="I8" s="24" t="s">
        <v>685</v>
      </c>
      <c r="J8" s="24" t="s">
        <v>686</v>
      </c>
      <c r="K8" s="25" t="s">
        <v>684</v>
      </c>
      <c r="L8" s="24" t="s">
        <v>678</v>
      </c>
      <c r="M8" s="24" t="s">
        <v>679</v>
      </c>
      <c r="N8" s="16"/>
    </row>
    <row r="9" spans="1:14" s="2" customFormat="1" ht="30" customHeight="1" x14ac:dyDescent="0.25">
      <c r="A9" s="32">
        <v>1</v>
      </c>
      <c r="B9" s="33">
        <v>10293648</v>
      </c>
      <c r="C9" s="34" t="s">
        <v>656</v>
      </c>
      <c r="D9" s="34" t="s">
        <v>675</v>
      </c>
      <c r="E9" s="35" t="s">
        <v>247</v>
      </c>
      <c r="F9" s="36" t="s">
        <v>457</v>
      </c>
      <c r="G9" s="36" t="s">
        <v>57</v>
      </c>
      <c r="H9" s="32">
        <f>G9-F9+1</f>
        <v>3</v>
      </c>
      <c r="I9" s="34" t="s">
        <v>605</v>
      </c>
      <c r="J9" s="37" t="s">
        <v>690</v>
      </c>
      <c r="K9" s="33">
        <v>50558671</v>
      </c>
      <c r="L9" s="38">
        <f>VLOOKUP(K9,[1]Employees!$C$2:$Q$264,13,FALSE)</f>
        <v>36783.000115740739</v>
      </c>
      <c r="M9" s="38">
        <f>VLOOKUP(K9,[1]Employees!$C$2:$Q$264,14,FALSE)</f>
        <v>44884.000115740739</v>
      </c>
    </row>
    <row r="10" spans="1:14" s="2" customFormat="1" ht="30" customHeight="1" x14ac:dyDescent="0.25">
      <c r="A10" s="32">
        <v>2</v>
      </c>
      <c r="B10" s="33">
        <v>10328007</v>
      </c>
      <c r="C10" s="34" t="s">
        <v>657</v>
      </c>
      <c r="D10" s="34" t="s">
        <v>675</v>
      </c>
      <c r="E10" s="35" t="s">
        <v>312</v>
      </c>
      <c r="F10" s="36" t="s">
        <v>56</v>
      </c>
      <c r="G10" s="36" t="s">
        <v>64</v>
      </c>
      <c r="H10" s="32">
        <f t="shared" ref="H10:H23" si="0">G10-F10+1</f>
        <v>4</v>
      </c>
      <c r="I10" s="34" t="s">
        <v>109</v>
      </c>
      <c r="J10" s="37" t="s">
        <v>693</v>
      </c>
      <c r="K10" s="33">
        <v>50475720</v>
      </c>
      <c r="L10" s="38">
        <f>VLOOKUP(K10,[1]Employees!$C$2:$Q$264,13,FALSE)</f>
        <v>35806.000115740739</v>
      </c>
      <c r="M10" s="38">
        <f>VLOOKUP(K10,[1]Employees!$C$2:$Q$264,14,FALSE)</f>
        <v>43831.000115740739</v>
      </c>
    </row>
    <row r="11" spans="1:14" s="2" customFormat="1" ht="30" customHeight="1" x14ac:dyDescent="0.25">
      <c r="A11" s="32">
        <v>3</v>
      </c>
      <c r="B11" s="33">
        <v>10287651</v>
      </c>
      <c r="C11" s="34" t="s">
        <v>658</v>
      </c>
      <c r="D11" s="34" t="s">
        <v>675</v>
      </c>
      <c r="E11" s="35" t="s">
        <v>339</v>
      </c>
      <c r="F11" s="36" t="s">
        <v>45</v>
      </c>
      <c r="G11" s="36" t="s">
        <v>111</v>
      </c>
      <c r="H11" s="32">
        <f t="shared" si="0"/>
        <v>3</v>
      </c>
      <c r="I11" s="39" t="s">
        <v>338</v>
      </c>
      <c r="J11" s="37" t="s">
        <v>694</v>
      </c>
      <c r="K11" s="33">
        <v>50547965</v>
      </c>
      <c r="L11" s="38">
        <f>VLOOKUP(K11,[1]Employees!$C$2:$Q$264,13,FALSE)</f>
        <v>36348.000115740739</v>
      </c>
      <c r="M11" s="38">
        <f>VLOOKUP(K11,[1]Employees!$C$2:$Q$264,14,FALSE)</f>
        <v>44809.000115740739</v>
      </c>
    </row>
    <row r="12" spans="1:14" s="2" customFormat="1" ht="30" customHeight="1" x14ac:dyDescent="0.25">
      <c r="A12" s="32">
        <v>4</v>
      </c>
      <c r="B12" s="33">
        <v>10311303</v>
      </c>
      <c r="C12" s="34" t="s">
        <v>660</v>
      </c>
      <c r="D12" s="34" t="s">
        <v>675</v>
      </c>
      <c r="E12" s="35" t="s">
        <v>380</v>
      </c>
      <c r="F12" s="36" t="s">
        <v>98</v>
      </c>
      <c r="G12" s="36" t="s">
        <v>99</v>
      </c>
      <c r="H12" s="32">
        <f t="shared" si="0"/>
        <v>2</v>
      </c>
      <c r="I12" s="34" t="s">
        <v>390</v>
      </c>
      <c r="J12" s="37" t="s">
        <v>691</v>
      </c>
      <c r="K12" s="33">
        <v>50653049</v>
      </c>
      <c r="L12" s="38">
        <f>VLOOKUP(K12,[1]Employees!$C$2:$Q$264,13,FALSE)</f>
        <v>37374.000115740739</v>
      </c>
      <c r="M12" s="38">
        <f>VLOOKUP(K12,[1]Employees!$C$2:$Q$264,14,FALSE)</f>
        <v>45597.000115740739</v>
      </c>
    </row>
    <row r="13" spans="1:14" s="2" customFormat="1" ht="30" customHeight="1" x14ac:dyDescent="0.25">
      <c r="A13" s="32">
        <v>5</v>
      </c>
      <c r="B13" s="33">
        <v>10311303</v>
      </c>
      <c r="C13" s="34" t="s">
        <v>660</v>
      </c>
      <c r="D13" s="34" t="s">
        <v>675</v>
      </c>
      <c r="E13" s="35" t="s">
        <v>380</v>
      </c>
      <c r="F13" s="36" t="s">
        <v>81</v>
      </c>
      <c r="G13" s="36" t="s">
        <v>81</v>
      </c>
      <c r="H13" s="32">
        <f t="shared" si="0"/>
        <v>1</v>
      </c>
      <c r="I13" s="34" t="s">
        <v>379</v>
      </c>
      <c r="J13" s="37" t="s">
        <v>692</v>
      </c>
      <c r="K13" s="33">
        <v>50566122</v>
      </c>
      <c r="L13" s="38">
        <f>VLOOKUP(K13,[1]Employees!$C$2:$Q$264,13,FALSE)</f>
        <v>36591.000115740739</v>
      </c>
      <c r="M13" s="38">
        <f>VLOOKUP(K13,[1]Employees!$C$2:$Q$264,14,FALSE)</f>
        <v>44931.000115740739</v>
      </c>
    </row>
    <row r="14" spans="1:14" s="2" customFormat="1" ht="30" customHeight="1" x14ac:dyDescent="0.25">
      <c r="A14" s="32">
        <v>6</v>
      </c>
      <c r="B14" s="33">
        <v>10311303</v>
      </c>
      <c r="C14" s="34" t="s">
        <v>660</v>
      </c>
      <c r="D14" s="34" t="s">
        <v>675</v>
      </c>
      <c r="E14" s="35" t="s">
        <v>380</v>
      </c>
      <c r="F14" s="36" t="s">
        <v>68</v>
      </c>
      <c r="G14" s="36" t="s">
        <v>21</v>
      </c>
      <c r="H14" s="32">
        <f t="shared" si="0"/>
        <v>2</v>
      </c>
      <c r="I14" s="34" t="s">
        <v>390</v>
      </c>
      <c r="J14" s="37" t="s">
        <v>695</v>
      </c>
      <c r="K14" s="33">
        <v>50653049</v>
      </c>
      <c r="L14" s="38">
        <f>VLOOKUP(K14,[1]Employees!$C$2:$Q$264,13,FALSE)</f>
        <v>37374.000115740739</v>
      </c>
      <c r="M14" s="38">
        <f>VLOOKUP(K14,[1]Employees!$C$2:$Q$264,14,FALSE)</f>
        <v>45597.000115740739</v>
      </c>
    </row>
    <row r="15" spans="1:14" s="2" customFormat="1" ht="30" customHeight="1" x14ac:dyDescent="0.25">
      <c r="A15" s="32">
        <v>7</v>
      </c>
      <c r="B15" s="33">
        <v>10311303</v>
      </c>
      <c r="C15" s="34" t="s">
        <v>660</v>
      </c>
      <c r="D15" s="34" t="s">
        <v>675</v>
      </c>
      <c r="E15" s="35" t="s">
        <v>380</v>
      </c>
      <c r="F15" s="36" t="s">
        <v>33</v>
      </c>
      <c r="G15" s="40" t="s">
        <v>49</v>
      </c>
      <c r="H15" s="32">
        <f t="shared" si="0"/>
        <v>6</v>
      </c>
      <c r="I15" s="34" t="s">
        <v>390</v>
      </c>
      <c r="J15" s="37" t="s">
        <v>695</v>
      </c>
      <c r="K15" s="33">
        <v>50653049</v>
      </c>
      <c r="L15" s="38">
        <f>VLOOKUP(K15,[1]Employees!$C$2:$Q$264,13,FALSE)</f>
        <v>37374.000115740739</v>
      </c>
      <c r="M15" s="38">
        <f>VLOOKUP(K15,[1]Employees!$C$2:$Q$264,14,FALSE)</f>
        <v>45597.000115740739</v>
      </c>
    </row>
    <row r="16" spans="1:14" s="2" customFormat="1" ht="30" customHeight="1" x14ac:dyDescent="0.25">
      <c r="A16" s="32">
        <v>8</v>
      </c>
      <c r="B16" s="33">
        <v>10311303</v>
      </c>
      <c r="C16" s="34" t="s">
        <v>660</v>
      </c>
      <c r="D16" s="34" t="s">
        <v>675</v>
      </c>
      <c r="E16" s="35" t="s">
        <v>380</v>
      </c>
      <c r="F16" s="36" t="s">
        <v>50</v>
      </c>
      <c r="G16" s="36" t="s">
        <v>50</v>
      </c>
      <c r="H16" s="32">
        <f t="shared" si="0"/>
        <v>1</v>
      </c>
      <c r="I16" s="34" t="s">
        <v>379</v>
      </c>
      <c r="J16" s="37" t="s">
        <v>692</v>
      </c>
      <c r="K16" s="33">
        <v>50566122</v>
      </c>
      <c r="L16" s="38">
        <f>VLOOKUP(K16,[1]Employees!$C$2:$Q$264,13,FALSE)</f>
        <v>36591.000115740739</v>
      </c>
      <c r="M16" s="38">
        <f>VLOOKUP(K16,[1]Employees!$C$2:$Q$264,14,FALSE)</f>
        <v>44931.000115740739</v>
      </c>
    </row>
    <row r="17" spans="1:14" s="2" customFormat="1" ht="30" customHeight="1" x14ac:dyDescent="0.25">
      <c r="A17" s="32">
        <v>9</v>
      </c>
      <c r="B17" s="33">
        <v>10293651</v>
      </c>
      <c r="C17" s="34" t="s">
        <v>672</v>
      </c>
      <c r="D17" s="34" t="s">
        <v>676</v>
      </c>
      <c r="E17" s="35" t="s">
        <v>312</v>
      </c>
      <c r="F17" s="36" t="s">
        <v>99</v>
      </c>
      <c r="G17" s="36" t="s">
        <v>45</v>
      </c>
      <c r="H17" s="32">
        <f t="shared" si="0"/>
        <v>9</v>
      </c>
      <c r="I17" s="34" t="s">
        <v>109</v>
      </c>
      <c r="J17" s="37" t="s">
        <v>693</v>
      </c>
      <c r="K17" s="33">
        <v>50475720</v>
      </c>
      <c r="L17" s="38">
        <f>VLOOKUP(K17,[1]Employees!$C$2:$Q$264,13,FALSE)</f>
        <v>35806.000115740739</v>
      </c>
      <c r="M17" s="38">
        <f>VLOOKUP(K17,[1]Employees!$C$2:$Q$264,14,FALSE)</f>
        <v>43831.000115740739</v>
      </c>
    </row>
    <row r="18" spans="1:14" s="2" customFormat="1" ht="30" customHeight="1" x14ac:dyDescent="0.25">
      <c r="A18" s="32">
        <v>10</v>
      </c>
      <c r="B18" s="32">
        <v>10293650</v>
      </c>
      <c r="C18" s="34" t="s">
        <v>688</v>
      </c>
      <c r="D18" s="34" t="s">
        <v>689</v>
      </c>
      <c r="E18" s="35" t="s">
        <v>375</v>
      </c>
      <c r="F18" s="40" t="s">
        <v>105</v>
      </c>
      <c r="G18" s="40" t="s">
        <v>105</v>
      </c>
      <c r="H18" s="32">
        <f t="shared" si="0"/>
        <v>1</v>
      </c>
      <c r="I18" s="34" t="s">
        <v>648</v>
      </c>
      <c r="J18" s="37" t="s">
        <v>693</v>
      </c>
      <c r="K18" s="33">
        <v>50506971</v>
      </c>
      <c r="L18" s="38">
        <f>VLOOKUP(K18,[1]Employees!$C$2:$Q$264,13,FALSE)</f>
        <v>36440.000115740739</v>
      </c>
      <c r="M18" s="38">
        <f>VLOOKUP(K18,[1]Employees!$C$2:$Q$264,14,FALSE)</f>
        <v>44279.000115740739</v>
      </c>
    </row>
    <row r="19" spans="1:14" s="2" customFormat="1" ht="30" customHeight="1" x14ac:dyDescent="0.25">
      <c r="A19" s="32">
        <v>11</v>
      </c>
      <c r="B19" s="32">
        <v>10293650</v>
      </c>
      <c r="C19" s="34" t="s">
        <v>688</v>
      </c>
      <c r="D19" s="34" t="s">
        <v>689</v>
      </c>
      <c r="E19" s="35" t="s">
        <v>375</v>
      </c>
      <c r="F19" s="36" t="s">
        <v>457</v>
      </c>
      <c r="G19" s="36" t="s">
        <v>75</v>
      </c>
      <c r="H19" s="32">
        <f t="shared" si="0"/>
        <v>8</v>
      </c>
      <c r="I19" s="34" t="s">
        <v>422</v>
      </c>
      <c r="J19" s="37" t="str">
        <f>VLOOKUP(K19,[1]Employees!$C$2:$M$266,11,FALSE)</f>
        <v>ABPM, Kattalai B.O</v>
      </c>
      <c r="K19" s="33">
        <v>50558678</v>
      </c>
      <c r="L19" s="38">
        <f>VLOOKUP(K19,[1]Employees!$C$2:$Q$264,13,FALSE)</f>
        <v>36901.000115740739</v>
      </c>
      <c r="M19" s="38">
        <f>VLOOKUP(K19,[1]Employees!$C$2:$Q$264,14,FALSE)</f>
        <v>44884.000115740739</v>
      </c>
    </row>
    <row r="20" spans="1:14" s="2" customFormat="1" ht="30" customHeight="1" x14ac:dyDescent="0.25">
      <c r="A20" s="32">
        <v>12</v>
      </c>
      <c r="B20" s="32">
        <v>10293650</v>
      </c>
      <c r="C20" s="34" t="s">
        <v>688</v>
      </c>
      <c r="D20" s="34" t="s">
        <v>689</v>
      </c>
      <c r="E20" s="35" t="s">
        <v>375</v>
      </c>
      <c r="F20" s="40" t="s">
        <v>37</v>
      </c>
      <c r="G20" s="40" t="s">
        <v>38</v>
      </c>
      <c r="H20" s="32">
        <f t="shared" si="0"/>
        <v>4</v>
      </c>
      <c r="I20" s="41" t="s">
        <v>696</v>
      </c>
      <c r="J20" s="37" t="str">
        <f>VLOOKUP(K20,[1]Employees!$C$2:$M$266,11,FALSE)</f>
        <v>Dak Sevak, Velayuthampalayam S.O</v>
      </c>
      <c r="K20" s="33">
        <v>50558674</v>
      </c>
      <c r="L20" s="38">
        <f>VLOOKUP(K20,[1]Employees!$C$2:$Q$264,13,FALSE)</f>
        <v>36462.000115740739</v>
      </c>
      <c r="M20" s="38">
        <f>VLOOKUP(K20,[1]Employees!$C$2:$Q$264,14,FALSE)</f>
        <v>44884.000115740739</v>
      </c>
    </row>
    <row r="21" spans="1:14" s="2" customFormat="1" ht="30" customHeight="1" x14ac:dyDescent="0.25">
      <c r="A21" s="32">
        <v>13</v>
      </c>
      <c r="B21" s="32">
        <v>10293650</v>
      </c>
      <c r="C21" s="34" t="s">
        <v>688</v>
      </c>
      <c r="D21" s="34" t="s">
        <v>689</v>
      </c>
      <c r="E21" s="35" t="s">
        <v>375</v>
      </c>
      <c r="F21" s="36" t="s">
        <v>20</v>
      </c>
      <c r="G21" s="36" t="s">
        <v>71</v>
      </c>
      <c r="H21" s="32">
        <f t="shared" si="0"/>
        <v>8</v>
      </c>
      <c r="I21" s="34" t="s">
        <v>422</v>
      </c>
      <c r="J21" s="37" t="str">
        <f>VLOOKUP(K21,[1]Employees!$C$2:$M$266,11,FALSE)</f>
        <v>ABPM, Kattalai B.O</v>
      </c>
      <c r="K21" s="33">
        <v>50558678</v>
      </c>
      <c r="L21" s="38">
        <f>VLOOKUP(K21,[1]Employees!$C$2:$Q$264,13,FALSE)</f>
        <v>36901.000115740739</v>
      </c>
      <c r="M21" s="38">
        <f>VLOOKUP(K21,[1]Employees!$C$2:$Q$264,14,FALSE)</f>
        <v>44884.000115740739</v>
      </c>
    </row>
    <row r="22" spans="1:14" s="2" customFormat="1" ht="30" customHeight="1" x14ac:dyDescent="0.25">
      <c r="A22" s="32">
        <v>14</v>
      </c>
      <c r="B22" s="32">
        <v>10293650</v>
      </c>
      <c r="C22" s="34" t="s">
        <v>688</v>
      </c>
      <c r="D22" s="34" t="s">
        <v>689</v>
      </c>
      <c r="E22" s="35" t="s">
        <v>375</v>
      </c>
      <c r="F22" s="40" t="s">
        <v>44</v>
      </c>
      <c r="G22" s="40" t="s">
        <v>44</v>
      </c>
      <c r="H22" s="32">
        <f t="shared" si="0"/>
        <v>1</v>
      </c>
      <c r="I22" s="41" t="s">
        <v>696</v>
      </c>
      <c r="J22" s="37" t="str">
        <f>VLOOKUP(K22,[1]Employees!$C$2:$M$266,11,FALSE)</f>
        <v>Dak Sevak, Velayuthampalayam S.O</v>
      </c>
      <c r="K22" s="33">
        <v>50558674</v>
      </c>
      <c r="L22" s="38">
        <f>VLOOKUP(K22,[1]Employees!$C$2:$Q$264,13,FALSE)</f>
        <v>36462.000115740739</v>
      </c>
      <c r="M22" s="38">
        <f>VLOOKUP(K22,[1]Employees!$C$2:$Q$264,14,FALSE)</f>
        <v>44884.000115740739</v>
      </c>
    </row>
    <row r="23" spans="1:14" s="2" customFormat="1" ht="30" customHeight="1" x14ac:dyDescent="0.25">
      <c r="A23" s="32">
        <v>15</v>
      </c>
      <c r="B23" s="32">
        <v>10293650</v>
      </c>
      <c r="C23" s="34" t="s">
        <v>688</v>
      </c>
      <c r="D23" s="34" t="s">
        <v>689</v>
      </c>
      <c r="E23" s="35" t="s">
        <v>375</v>
      </c>
      <c r="F23" s="36" t="s">
        <v>33</v>
      </c>
      <c r="G23" s="36" t="s">
        <v>50</v>
      </c>
      <c r="H23" s="32">
        <f t="shared" si="0"/>
        <v>7</v>
      </c>
      <c r="I23" s="34" t="s">
        <v>422</v>
      </c>
      <c r="J23" s="37" t="str">
        <f>VLOOKUP(K23,[1]Employees!$C$2:$M$266,11,FALSE)</f>
        <v>ABPM, Kattalai B.O</v>
      </c>
      <c r="K23" s="33">
        <v>50558678</v>
      </c>
      <c r="L23" s="38">
        <f>VLOOKUP(K23,[1]Employees!$C$2:$Q$264,13,FALSE)</f>
        <v>36901.000115740739</v>
      </c>
      <c r="M23" s="38">
        <f>VLOOKUP(K23,[1]Employees!$C$2:$Q$264,14,FALSE)</f>
        <v>44884.000115740739</v>
      </c>
    </row>
    <row r="24" spans="1:14" s="19" customFormat="1" ht="30" customHeight="1" x14ac:dyDescent="0.3">
      <c r="A24" s="54" t="s">
        <v>682</v>
      </c>
      <c r="B24" s="54"/>
      <c r="C24" s="54"/>
      <c r="D24" s="54"/>
      <c r="E24" s="54"/>
      <c r="F24" s="54"/>
      <c r="G24" s="54"/>
      <c r="H24" s="42">
        <f>SUM(H9:H23)</f>
        <v>60</v>
      </c>
      <c r="I24" s="43"/>
      <c r="J24" s="43"/>
      <c r="K24" s="43"/>
      <c r="L24" s="43"/>
      <c r="M24" s="43"/>
      <c r="N24" s="18"/>
    </row>
    <row r="25" spans="1:14" ht="18" customHeight="1" x14ac:dyDescent="0.25">
      <c r="H25" s="13"/>
    </row>
  </sheetData>
  <mergeCells count="8">
    <mergeCell ref="A6:M6"/>
    <mergeCell ref="A7:M7"/>
    <mergeCell ref="A24:G24"/>
    <mergeCell ref="A1:M1"/>
    <mergeCell ref="A2:M2"/>
    <mergeCell ref="A3:M3"/>
    <mergeCell ref="A4:M4"/>
    <mergeCell ref="A5:M5"/>
  </mergeCells>
  <printOptions horizontalCentered="1"/>
  <pageMargins left="0.4" right="0.4" top="0.45" bottom="0.45" header="0.2" footer="0.2"/>
  <pageSetup paperSize="9" scale="58" fitToHeight="0" orientation="landscape"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15"/>
  <sheetViews>
    <sheetView workbookViewId="0">
      <pane ySplit="8" topLeftCell="A9" activePane="bottomLeft" state="frozen"/>
      <selection pane="bottomLeft" activeCell="F14" sqref="F14"/>
    </sheetView>
  </sheetViews>
  <sheetFormatPr defaultRowHeight="18" customHeight="1" x14ac:dyDescent="0.25"/>
  <cols>
    <col min="1" max="1" width="6" customWidth="1"/>
    <col min="2" max="2" width="11.5703125" bestFit="1" customWidth="1"/>
    <col min="3" max="3" width="17.85546875" bestFit="1" customWidth="1"/>
    <col min="4" max="4" width="16.42578125" bestFit="1" customWidth="1"/>
    <col min="5" max="5" width="27.42578125" bestFit="1" customWidth="1"/>
    <col min="6" max="6" width="14.5703125" customWidth="1"/>
    <col min="7" max="7" width="14.5703125" bestFit="1" customWidth="1"/>
    <col min="8" max="8" width="11.5703125" bestFit="1" customWidth="1"/>
    <col min="9" max="9" width="22.140625" bestFit="1" customWidth="1"/>
    <col min="10" max="10" width="25.5703125" customWidth="1"/>
    <col min="11" max="11" width="14.7109375" bestFit="1" customWidth="1"/>
    <col min="12" max="12" width="13" bestFit="1" customWidth="1"/>
    <col min="13" max="13" width="14" customWidth="1"/>
  </cols>
  <sheetData>
    <row r="1" spans="1:13" ht="18.75" x14ac:dyDescent="0.25">
      <c r="A1" s="59" t="s">
        <v>0</v>
      </c>
      <c r="B1" s="59"/>
      <c r="C1" s="59"/>
      <c r="D1" s="59"/>
      <c r="E1" s="59"/>
      <c r="F1" s="59"/>
      <c r="G1" s="59"/>
      <c r="H1" s="59"/>
      <c r="I1" s="59"/>
      <c r="J1" s="59"/>
      <c r="K1" s="59"/>
      <c r="L1" s="59"/>
      <c r="M1" s="59"/>
    </row>
    <row r="2" spans="1:13" ht="26.25" customHeight="1" x14ac:dyDescent="0.25">
      <c r="A2" s="59" t="s">
        <v>1</v>
      </c>
      <c r="B2" s="59"/>
      <c r="C2" s="59"/>
      <c r="D2" s="59"/>
      <c r="E2" s="59"/>
      <c r="F2" s="59"/>
      <c r="G2" s="59"/>
      <c r="H2" s="59"/>
      <c r="I2" s="59"/>
      <c r="J2" s="59"/>
      <c r="K2" s="59"/>
      <c r="L2" s="59"/>
      <c r="M2" s="59"/>
    </row>
    <row r="3" spans="1:13" ht="27" customHeight="1" x14ac:dyDescent="0.25">
      <c r="A3" s="60" t="s">
        <v>700</v>
      </c>
      <c r="B3" s="60"/>
      <c r="C3" s="60"/>
      <c r="D3" s="60"/>
      <c r="E3" s="60"/>
      <c r="F3" s="60"/>
      <c r="G3" s="60"/>
      <c r="H3" s="60"/>
      <c r="I3" s="60"/>
      <c r="J3" s="60"/>
      <c r="K3" s="60"/>
      <c r="L3" s="60"/>
      <c r="M3" s="60"/>
    </row>
    <row r="4" spans="1:13" ht="26.25" customHeight="1" x14ac:dyDescent="0.25">
      <c r="A4" s="52" t="s">
        <v>683</v>
      </c>
      <c r="B4" s="52"/>
      <c r="C4" s="52"/>
      <c r="D4" s="52"/>
      <c r="E4" s="52"/>
      <c r="F4" s="52"/>
      <c r="G4" s="52"/>
      <c r="H4" s="52"/>
      <c r="I4" s="52"/>
      <c r="J4" s="52"/>
      <c r="K4" s="52"/>
      <c r="L4" s="52"/>
      <c r="M4" s="52"/>
    </row>
    <row r="5" spans="1:13" ht="44.25" customHeight="1" x14ac:dyDescent="0.25">
      <c r="A5" s="52" t="s">
        <v>699</v>
      </c>
      <c r="B5" s="52"/>
      <c r="C5" s="52"/>
      <c r="D5" s="52"/>
      <c r="E5" s="52"/>
      <c r="F5" s="52"/>
      <c r="G5" s="52"/>
      <c r="H5" s="52"/>
      <c r="I5" s="52"/>
      <c r="J5" s="52"/>
      <c r="K5" s="52"/>
      <c r="L5" s="52"/>
      <c r="M5" s="52"/>
    </row>
    <row r="6" spans="1:13" ht="21" customHeight="1" x14ac:dyDescent="0.25">
      <c r="A6" s="52" t="s">
        <v>681</v>
      </c>
      <c r="B6" s="52"/>
      <c r="C6" s="52"/>
      <c r="D6" s="52"/>
      <c r="E6" s="52"/>
      <c r="F6" s="52"/>
      <c r="G6" s="52"/>
      <c r="H6" s="52"/>
      <c r="I6" s="52"/>
      <c r="J6" s="52"/>
      <c r="K6" s="52"/>
      <c r="L6" s="52"/>
      <c r="M6" s="52"/>
    </row>
    <row r="7" spans="1:13" ht="31.5" customHeight="1" x14ac:dyDescent="0.25">
      <c r="A7" s="58" t="s">
        <v>703</v>
      </c>
      <c r="B7" s="58"/>
      <c r="C7" s="58"/>
      <c r="D7" s="58"/>
      <c r="E7" s="58"/>
      <c r="F7" s="58"/>
      <c r="G7" s="58"/>
      <c r="H7" s="58"/>
      <c r="I7" s="58"/>
      <c r="J7" s="58"/>
      <c r="K7" s="58"/>
      <c r="L7" s="58"/>
      <c r="M7" s="58"/>
    </row>
    <row r="8" spans="1:13" ht="31.5" x14ac:dyDescent="0.25">
      <c r="A8" s="24" t="s">
        <v>7</v>
      </c>
      <c r="B8" s="24" t="s">
        <v>8</v>
      </c>
      <c r="C8" s="24" t="s">
        <v>9</v>
      </c>
      <c r="D8" s="24" t="s">
        <v>674</v>
      </c>
      <c r="E8" s="24" t="s">
        <v>10</v>
      </c>
      <c r="F8" s="24" t="s">
        <v>11</v>
      </c>
      <c r="G8" s="24" t="s">
        <v>12</v>
      </c>
      <c r="H8" s="24" t="s">
        <v>673</v>
      </c>
      <c r="I8" s="24" t="s">
        <v>685</v>
      </c>
      <c r="J8" s="24" t="s">
        <v>686</v>
      </c>
      <c r="K8" s="24" t="s">
        <v>684</v>
      </c>
      <c r="L8" s="24" t="s">
        <v>678</v>
      </c>
      <c r="M8" s="24" t="s">
        <v>679</v>
      </c>
    </row>
    <row r="9" spans="1:13" s="2" customFormat="1" ht="30.95" customHeight="1" x14ac:dyDescent="0.25">
      <c r="A9" s="26">
        <v>1</v>
      </c>
      <c r="B9" s="20" t="s">
        <v>661</v>
      </c>
      <c r="C9" s="21" t="s">
        <v>662</v>
      </c>
      <c r="D9" s="21" t="s">
        <v>680</v>
      </c>
      <c r="E9" s="21" t="s">
        <v>235</v>
      </c>
      <c r="F9" s="31" t="s">
        <v>111</v>
      </c>
      <c r="G9" s="31" t="s">
        <v>111</v>
      </c>
      <c r="H9" s="26">
        <f>G9-F9+1</f>
        <v>1</v>
      </c>
      <c r="I9" s="21" t="s">
        <v>427</v>
      </c>
      <c r="J9" s="29" t="s">
        <v>698</v>
      </c>
      <c r="K9" s="22">
        <v>50089402</v>
      </c>
      <c r="L9" s="23">
        <v>27529.000115740742</v>
      </c>
      <c r="M9" s="23">
        <v>36094.000115740739</v>
      </c>
    </row>
    <row r="10" spans="1:13" s="2" customFormat="1" ht="30.95" customHeight="1" x14ac:dyDescent="0.25">
      <c r="A10" s="26">
        <v>2</v>
      </c>
      <c r="B10" s="20" t="s">
        <v>661</v>
      </c>
      <c r="C10" s="21" t="s">
        <v>662</v>
      </c>
      <c r="D10" s="21" t="s">
        <v>680</v>
      </c>
      <c r="E10" s="21" t="s">
        <v>235</v>
      </c>
      <c r="F10" s="31" t="s">
        <v>50</v>
      </c>
      <c r="G10" s="31" t="s">
        <v>50</v>
      </c>
      <c r="H10" s="26">
        <f t="shared" ref="H10:H14" si="0">G10-F10+1</f>
        <v>1</v>
      </c>
      <c r="I10" s="21" t="s">
        <v>427</v>
      </c>
      <c r="J10" s="29" t="s">
        <v>698</v>
      </c>
      <c r="K10" s="22">
        <v>50089402</v>
      </c>
      <c r="L10" s="23">
        <v>27529.000115740742</v>
      </c>
      <c r="M10" s="23">
        <v>36094.000115740739</v>
      </c>
    </row>
    <row r="11" spans="1:13" s="2" customFormat="1" ht="30.95" customHeight="1" x14ac:dyDescent="0.25">
      <c r="A11" s="26">
        <v>3</v>
      </c>
      <c r="B11" s="20" t="s">
        <v>663</v>
      </c>
      <c r="C11" s="21" t="s">
        <v>664</v>
      </c>
      <c r="D11" s="21" t="s">
        <v>680</v>
      </c>
      <c r="E11" s="21" t="s">
        <v>380</v>
      </c>
      <c r="F11" s="31" t="s">
        <v>217</v>
      </c>
      <c r="G11" s="31" t="s">
        <v>38</v>
      </c>
      <c r="H11" s="26">
        <f t="shared" si="0"/>
        <v>2</v>
      </c>
      <c r="I11" s="21" t="s">
        <v>379</v>
      </c>
      <c r="J11" s="30" t="s">
        <v>692</v>
      </c>
      <c r="K11" s="22">
        <v>50566122</v>
      </c>
      <c r="L11" s="23">
        <f>VLOOKUP(K11,[1]Employees!$C$2:$Q$264,13,FALSE)</f>
        <v>36591.000115740739</v>
      </c>
      <c r="M11" s="23">
        <f>VLOOKUP(K11,[1]Employees!$C$2:$Q$264,14,FALSE)</f>
        <v>44931.000115740739</v>
      </c>
    </row>
    <row r="12" spans="1:13" s="2" customFormat="1" ht="30.95" customHeight="1" x14ac:dyDescent="0.25">
      <c r="A12" s="26">
        <v>4</v>
      </c>
      <c r="B12" s="20" t="s">
        <v>663</v>
      </c>
      <c r="C12" s="21" t="s">
        <v>664</v>
      </c>
      <c r="D12" s="21" t="s">
        <v>680</v>
      </c>
      <c r="E12" s="21" t="s">
        <v>380</v>
      </c>
      <c r="F12" s="31" t="s">
        <v>33</v>
      </c>
      <c r="G12" s="31" t="s">
        <v>45</v>
      </c>
      <c r="H12" s="26">
        <f t="shared" si="0"/>
        <v>2</v>
      </c>
      <c r="I12" s="21" t="s">
        <v>379</v>
      </c>
      <c r="J12" s="30" t="s">
        <v>692</v>
      </c>
      <c r="K12" s="22">
        <v>50566122</v>
      </c>
      <c r="L12" s="23">
        <f>VLOOKUP(K12,[1]Employees!$C$2:$Q$264,13,FALSE)</f>
        <v>36591.000115740739</v>
      </c>
      <c r="M12" s="23">
        <f>VLOOKUP(K12,[1]Employees!$C$2:$Q$264,14,FALSE)</f>
        <v>44931.000115740739</v>
      </c>
    </row>
    <row r="13" spans="1:13" s="2" customFormat="1" ht="30.95" customHeight="1" x14ac:dyDescent="0.25">
      <c r="A13" s="26">
        <v>5</v>
      </c>
      <c r="B13" s="20" t="s">
        <v>659</v>
      </c>
      <c r="C13" s="21" t="s">
        <v>660</v>
      </c>
      <c r="D13" s="21" t="s">
        <v>680</v>
      </c>
      <c r="E13" s="21" t="s">
        <v>380</v>
      </c>
      <c r="F13" s="31" t="s">
        <v>37</v>
      </c>
      <c r="G13" s="31" t="s">
        <v>38</v>
      </c>
      <c r="H13" s="26">
        <f t="shared" si="0"/>
        <v>4</v>
      </c>
      <c r="I13" s="21" t="s">
        <v>390</v>
      </c>
      <c r="J13" s="30" t="s">
        <v>695</v>
      </c>
      <c r="K13" s="22">
        <v>50653049</v>
      </c>
      <c r="L13" s="23">
        <f>VLOOKUP(K13,[1]Employees!$C$2:$Q$264,13,FALSE)</f>
        <v>37374.000115740739</v>
      </c>
      <c r="M13" s="23">
        <f>VLOOKUP(K13,[1]Employees!$C$2:$Q$264,14,FALSE)</f>
        <v>45597.000115740739</v>
      </c>
    </row>
    <row r="14" spans="1:13" s="2" customFormat="1" ht="30.95" customHeight="1" x14ac:dyDescent="0.25">
      <c r="A14" s="26">
        <v>6</v>
      </c>
      <c r="B14" s="20" t="s">
        <v>665</v>
      </c>
      <c r="C14" s="21" t="s">
        <v>666</v>
      </c>
      <c r="D14" s="21" t="s">
        <v>680</v>
      </c>
      <c r="E14" s="21" t="s">
        <v>380</v>
      </c>
      <c r="F14" s="31" t="s">
        <v>49</v>
      </c>
      <c r="G14" s="31" t="s">
        <v>49</v>
      </c>
      <c r="H14" s="26">
        <f t="shared" si="0"/>
        <v>1</v>
      </c>
      <c r="I14" s="21" t="s">
        <v>379</v>
      </c>
      <c r="J14" s="30" t="s">
        <v>692</v>
      </c>
      <c r="K14" s="22">
        <v>50566122</v>
      </c>
      <c r="L14" s="23">
        <f>VLOOKUP(K14,[1]Employees!$C$2:$Q$264,13,FALSE)</f>
        <v>36591.000115740739</v>
      </c>
      <c r="M14" s="23">
        <f>VLOOKUP(K14,[1]Employees!$C$2:$Q$264,14,FALSE)</f>
        <v>44931.000115740739</v>
      </c>
    </row>
    <row r="15" spans="1:13" ht="30.95" customHeight="1" x14ac:dyDescent="0.25">
      <c r="A15" s="54" t="s">
        <v>682</v>
      </c>
      <c r="B15" s="54"/>
      <c r="C15" s="54"/>
      <c r="D15" s="54"/>
      <c r="E15" s="54"/>
      <c r="F15" s="54"/>
      <c r="G15" s="54"/>
      <c r="H15" s="27">
        <f>SUM(H9:H14)</f>
        <v>11</v>
      </c>
      <c r="I15" s="28"/>
      <c r="J15" s="28"/>
      <c r="K15" s="28"/>
      <c r="L15" s="28"/>
      <c r="M15" s="28"/>
    </row>
  </sheetData>
  <mergeCells count="8">
    <mergeCell ref="A6:M6"/>
    <mergeCell ref="A7:M7"/>
    <mergeCell ref="A15:G15"/>
    <mergeCell ref="A1:M1"/>
    <mergeCell ref="A2:M2"/>
    <mergeCell ref="A3:M3"/>
    <mergeCell ref="A4:M4"/>
    <mergeCell ref="A5:M5"/>
  </mergeCells>
  <printOptions horizontalCentered="1"/>
  <pageMargins left="0.4" right="0.4" top="0.45" bottom="0.45" header="0.2" footer="0.2"/>
  <pageSetup paperSize="9" scale="66" fitToHeight="0" orientation="landscape"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23"/>
  <sheetViews>
    <sheetView workbookViewId="0">
      <pane ySplit="8" topLeftCell="A9" activePane="bottomLeft" state="frozen"/>
      <selection pane="bottomLeft" activeCell="J23" sqref="J23"/>
    </sheetView>
  </sheetViews>
  <sheetFormatPr defaultRowHeight="18" customHeight="1" x14ac:dyDescent="0.25"/>
  <cols>
    <col min="1" max="1" width="6" customWidth="1"/>
    <col min="2" max="2" width="11" customWidth="1"/>
    <col min="3" max="3" width="22" customWidth="1"/>
    <col min="4" max="4" width="26" customWidth="1"/>
    <col min="5" max="6" width="13" customWidth="1"/>
    <col min="7" max="7" width="12" customWidth="1"/>
    <col min="8" max="8" width="22" customWidth="1"/>
    <col min="9" max="9" width="15" customWidth="1"/>
    <col min="10" max="10" width="36" customWidth="1"/>
  </cols>
  <sheetData>
    <row r="1" spans="1:10" ht="26.1" customHeight="1" x14ac:dyDescent="0.25">
      <c r="A1" s="47" t="s">
        <v>0</v>
      </c>
      <c r="B1" s="47"/>
      <c r="C1" s="47"/>
      <c r="D1" s="47"/>
      <c r="E1" s="47"/>
      <c r="F1" s="47"/>
      <c r="G1" s="47"/>
      <c r="H1" s="47"/>
      <c r="I1" s="47"/>
      <c r="J1" s="47"/>
    </row>
    <row r="2" spans="1:10" ht="20.100000000000001" customHeight="1" x14ac:dyDescent="0.25">
      <c r="A2" s="48" t="s">
        <v>1</v>
      </c>
      <c r="B2" s="48"/>
      <c r="C2" s="48"/>
      <c r="D2" s="48"/>
      <c r="E2" s="48"/>
      <c r="F2" s="48"/>
      <c r="G2" s="48"/>
      <c r="H2" s="48"/>
      <c r="I2" s="48"/>
      <c r="J2" s="48"/>
    </row>
    <row r="3" spans="1:10" ht="20.100000000000001" customHeight="1" x14ac:dyDescent="0.25">
      <c r="A3" s="49" t="s">
        <v>2</v>
      </c>
      <c r="B3" s="49"/>
      <c r="C3" s="49"/>
      <c r="D3" s="49"/>
      <c r="E3" s="49"/>
      <c r="F3" s="49"/>
      <c r="G3" s="49"/>
      <c r="H3" s="49"/>
      <c r="I3" s="49"/>
      <c r="J3" s="49"/>
    </row>
    <row r="4" spans="1:10" ht="18" customHeight="1" x14ac:dyDescent="0.25">
      <c r="A4" s="44" t="s">
        <v>3</v>
      </c>
      <c r="B4" s="44"/>
      <c r="C4" s="44"/>
      <c r="D4" s="44"/>
      <c r="E4" s="44"/>
      <c r="F4" s="44"/>
      <c r="G4" s="44"/>
      <c r="H4" s="44"/>
      <c r="I4" s="44"/>
      <c r="J4" s="44"/>
    </row>
    <row r="5" spans="1:10" ht="33.950000000000003" customHeight="1" x14ac:dyDescent="0.25">
      <c r="A5" s="44" t="s">
        <v>4</v>
      </c>
      <c r="B5" s="44"/>
      <c r="C5" s="44"/>
      <c r="D5" s="44"/>
      <c r="E5" s="44"/>
      <c r="F5" s="44"/>
      <c r="G5" s="44"/>
      <c r="H5" s="44"/>
      <c r="I5" s="44"/>
      <c r="J5" s="44"/>
    </row>
    <row r="6" spans="1:10" ht="18" customHeight="1" x14ac:dyDescent="0.25">
      <c r="A6" s="44" t="s">
        <v>5</v>
      </c>
      <c r="B6" s="44"/>
      <c r="C6" s="44"/>
      <c r="D6" s="44"/>
      <c r="E6" s="44"/>
      <c r="F6" s="44"/>
      <c r="G6" s="44"/>
      <c r="H6" s="44"/>
      <c r="I6" s="44"/>
      <c r="J6" s="44"/>
    </row>
    <row r="7" spans="1:10" ht="21.95" customHeight="1" x14ac:dyDescent="0.25">
      <c r="A7" s="45" t="s">
        <v>667</v>
      </c>
      <c r="B7" s="45"/>
      <c r="C7" s="45"/>
      <c r="D7" s="45"/>
      <c r="E7" s="45"/>
      <c r="F7" s="45"/>
      <c r="G7" s="45"/>
      <c r="H7" s="45"/>
      <c r="I7" s="45"/>
      <c r="J7" s="45"/>
    </row>
    <row r="8" spans="1:10" ht="21.95" customHeight="1" x14ac:dyDescent="0.25">
      <c r="A8" s="1" t="s">
        <v>7</v>
      </c>
      <c r="B8" s="1" t="s">
        <v>8</v>
      </c>
      <c r="C8" s="1" t="s">
        <v>9</v>
      </c>
      <c r="D8" s="1" t="s">
        <v>10</v>
      </c>
      <c r="E8" s="1" t="s">
        <v>11</v>
      </c>
      <c r="F8" s="1" t="s">
        <v>12</v>
      </c>
      <c r="G8" s="1" t="s">
        <v>13</v>
      </c>
      <c r="H8" s="1" t="s">
        <v>14</v>
      </c>
      <c r="I8" s="1" t="s">
        <v>15</v>
      </c>
      <c r="J8" s="1" t="s">
        <v>16</v>
      </c>
    </row>
    <row r="9" spans="1:10" s="2" customFormat="1" ht="15" x14ac:dyDescent="0.25">
      <c r="A9" s="3">
        <v>1</v>
      </c>
      <c r="B9" s="4" t="s">
        <v>122</v>
      </c>
      <c r="C9" s="3" t="s">
        <v>123</v>
      </c>
      <c r="D9" s="3" t="s">
        <v>124</v>
      </c>
      <c r="E9" s="3" t="s">
        <v>105</v>
      </c>
      <c r="F9" s="3" t="s">
        <v>105</v>
      </c>
      <c r="G9" s="5">
        <v>1</v>
      </c>
      <c r="H9" s="3" t="s">
        <v>352</v>
      </c>
      <c r="I9" s="4" t="s">
        <v>353</v>
      </c>
      <c r="J9" s="3" t="s">
        <v>668</v>
      </c>
    </row>
    <row r="10" spans="1:10" s="2" customFormat="1" ht="15" x14ac:dyDescent="0.25">
      <c r="A10" s="6">
        <v>2</v>
      </c>
      <c r="B10" s="7" t="s">
        <v>122</v>
      </c>
      <c r="C10" s="6" t="s">
        <v>123</v>
      </c>
      <c r="D10" s="6" t="s">
        <v>124</v>
      </c>
      <c r="E10" s="6" t="s">
        <v>180</v>
      </c>
      <c r="F10" s="6" t="s">
        <v>629</v>
      </c>
      <c r="G10" s="8">
        <v>10</v>
      </c>
      <c r="H10" s="6" t="s">
        <v>125</v>
      </c>
      <c r="I10" s="7" t="s">
        <v>126</v>
      </c>
      <c r="J10" s="6" t="s">
        <v>669</v>
      </c>
    </row>
    <row r="11" spans="1:10" s="2" customFormat="1" ht="15" x14ac:dyDescent="0.25">
      <c r="A11" s="3">
        <v>3</v>
      </c>
      <c r="B11" s="4" t="s">
        <v>122</v>
      </c>
      <c r="C11" s="3" t="s">
        <v>123</v>
      </c>
      <c r="D11" s="3" t="s">
        <v>124</v>
      </c>
      <c r="E11" s="3" t="s">
        <v>71</v>
      </c>
      <c r="F11" s="3" t="s">
        <v>49</v>
      </c>
      <c r="G11" s="5">
        <v>8</v>
      </c>
      <c r="H11" s="3" t="s">
        <v>125</v>
      </c>
      <c r="I11" s="4" t="s">
        <v>126</v>
      </c>
      <c r="J11" s="3" t="s">
        <v>668</v>
      </c>
    </row>
    <row r="12" spans="1:10" s="2" customFormat="1" ht="15" x14ac:dyDescent="0.25">
      <c r="A12" s="6">
        <v>4</v>
      </c>
      <c r="B12" s="7" t="s">
        <v>604</v>
      </c>
      <c r="C12" s="6" t="s">
        <v>605</v>
      </c>
      <c r="D12" s="6" t="s">
        <v>606</v>
      </c>
      <c r="E12" s="6" t="s">
        <v>64</v>
      </c>
      <c r="F12" s="6" t="s">
        <v>64</v>
      </c>
      <c r="G12" s="8">
        <v>1</v>
      </c>
      <c r="H12" s="6" t="s">
        <v>251</v>
      </c>
      <c r="I12" s="7" t="s">
        <v>252</v>
      </c>
      <c r="J12" s="6" t="s">
        <v>670</v>
      </c>
    </row>
    <row r="13" spans="1:10" s="2" customFormat="1" ht="15" x14ac:dyDescent="0.25">
      <c r="A13" s="3">
        <v>5</v>
      </c>
      <c r="B13" s="4" t="s">
        <v>347</v>
      </c>
      <c r="C13" s="3" t="s">
        <v>348</v>
      </c>
      <c r="D13" s="3" t="s">
        <v>349</v>
      </c>
      <c r="E13" s="3" t="s">
        <v>71</v>
      </c>
      <c r="F13" s="3" t="s">
        <v>44</v>
      </c>
      <c r="G13" s="5">
        <v>2</v>
      </c>
      <c r="H13" s="3" t="s">
        <v>350</v>
      </c>
      <c r="I13" s="4" t="s">
        <v>351</v>
      </c>
      <c r="J13" s="3" t="s">
        <v>671</v>
      </c>
    </row>
    <row r="14" spans="1:10" ht="15" x14ac:dyDescent="0.25">
      <c r="A14" s="46" t="s">
        <v>413</v>
      </c>
      <c r="B14" s="46"/>
      <c r="C14" s="46"/>
      <c r="D14" s="46"/>
      <c r="E14" s="46"/>
      <c r="F14" s="46"/>
      <c r="G14" s="9">
        <v>22</v>
      </c>
      <c r="H14" s="10"/>
      <c r="I14" s="10"/>
      <c r="J14" s="10"/>
    </row>
    <row r="23" spans="10:10" ht="18" customHeight="1" x14ac:dyDescent="0.25">
      <c r="J23" t="s">
        <v>704</v>
      </c>
    </row>
  </sheetData>
  <mergeCells count="8">
    <mergeCell ref="A6:J6"/>
    <mergeCell ref="A7:J7"/>
    <mergeCell ref="A14:F14"/>
    <mergeCell ref="A1:J1"/>
    <mergeCell ref="A2:J2"/>
    <mergeCell ref="A3:J3"/>
    <mergeCell ref="A4:J4"/>
    <mergeCell ref="A5:J5"/>
  </mergeCells>
  <printOptions horizontalCentered="1"/>
  <pageMargins left="0.4" right="0.4" top="0.45" bottom="0.45" header="0.2" footer="0.2"/>
  <pageSetup paperSize="9" fitToHeight="0" orientation="landscape"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Karur HO - GDS-Paid Leave</vt:lpstr>
      <vt:lpstr>Kulittalai HO - GDS-Paid Leave</vt:lpstr>
      <vt:lpstr>Karur HO - Training</vt:lpstr>
      <vt:lpstr>Kulittalai HO - Training</vt:lpstr>
      <vt:lpstr>Karur HO - GDS-LWA</vt:lpstr>
      <vt:lpstr>Kulittalai HO - GDS-LWA</vt:lpstr>
      <vt:lpstr>Karur HO - Earned Leave</vt:lpstr>
      <vt:lpstr>Karur HO - Casual Leave (CL)</vt:lpstr>
      <vt:lpstr>Karur HO - GDS-Special CL</vt:lpstr>
      <vt:lpstr>'Karur HO - Casual Leave (CL)'!Print_Titles</vt:lpstr>
      <vt:lpstr>'Karur HO - Earned Leave'!Print_Titles</vt:lpstr>
      <vt:lpstr>'Karur HO - GDS-LWA'!Print_Titles</vt:lpstr>
      <vt:lpstr>'Karur HO - GDS-Paid Leave'!Print_Titles</vt:lpstr>
      <vt:lpstr>'Karur HO - GDS-Special CL'!Print_Titles</vt:lpstr>
      <vt:lpstr>'Karur HO - Training'!Print_Titles</vt:lpstr>
      <vt:lpstr>'Kulittalai HO - GDS-LWA'!Print_Titles</vt:lpstr>
      <vt:lpstr>'Kulittalai HO - GDS-Paid Leave'!Print_Titles</vt:lpstr>
      <vt:lpstr>'Kulittalai HO - Training'!Print_Titles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2026-06-30T06:50:07Z</dcterms:created>
  <dcterms:modified xsi:type="dcterms:W3CDTF">2026-07-27T05:42:51Z</dcterms:modified>
  <cp:category/>
</cp:coreProperties>
</file>